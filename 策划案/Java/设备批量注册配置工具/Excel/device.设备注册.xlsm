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DesignerDoc\策划案\Java\设备批量注册配置工具\Excel\"/>
    </mc:Choice>
  </mc:AlternateContent>
  <xr:revisionPtr revIDLastSave="0" documentId="13_ncr:1_{A3215420-D4AE-4204-B080-C0F6A180E748}" xr6:coauthVersionLast="46" xr6:coauthVersionMax="46" xr10:uidLastSave="{00000000-0000-0000-0000-000000000000}"/>
  <bookViews>
    <workbookView xWindow="-120" yWindow="-120" windowWidth="29040" windowHeight="15840" activeTab="4" xr2:uid="{00000000-000D-0000-FFFF-FFFF00000000}"/>
  </bookViews>
  <sheets>
    <sheet name="INDEX" sheetId="25" r:id="rId1"/>
    <sheet name="玩家" sheetId="28" r:id="rId2"/>
    <sheet name="场景" sheetId="33" r:id="rId3"/>
    <sheet name="油烟设备" sheetId="35" r:id="rId4"/>
    <sheet name="哑资源设备" sheetId="36" r:id="rId5"/>
  </sheets>
  <functionGroups builtInGroupCount="19"/>
  <externalReferences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36" l="1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83" i="36"/>
  <c r="H84" i="36"/>
  <c r="H85" i="36"/>
  <c r="H86" i="36"/>
  <c r="H87" i="36"/>
  <c r="H88" i="36"/>
  <c r="H89" i="36"/>
  <c r="H90" i="36"/>
  <c r="H91" i="36"/>
  <c r="H92" i="36"/>
  <c r="H93" i="36"/>
  <c r="H94" i="36"/>
  <c r="H95" i="36"/>
  <c r="H96" i="36"/>
  <c r="H97" i="36"/>
  <c r="H98" i="36"/>
  <c r="H99" i="36"/>
  <c r="H100" i="36"/>
  <c r="H101" i="36"/>
  <c r="H102" i="36"/>
  <c r="H103" i="36"/>
  <c r="H104" i="36"/>
  <c r="H105" i="36"/>
  <c r="H106" i="36"/>
  <c r="H107" i="36"/>
  <c r="H108" i="36"/>
  <c r="H109" i="36"/>
  <c r="H110" i="36"/>
  <c r="H111" i="36"/>
  <c r="H112" i="36"/>
  <c r="H113" i="36"/>
  <c r="H114" i="36"/>
  <c r="H115" i="36"/>
  <c r="H116" i="36"/>
  <c r="H117" i="36"/>
  <c r="H118" i="36"/>
  <c r="H119" i="36"/>
  <c r="H120" i="36"/>
  <c r="H121" i="36"/>
  <c r="H122" i="36"/>
  <c r="H123" i="36"/>
  <c r="H124" i="36"/>
  <c r="H125" i="36"/>
  <c r="H126" i="36"/>
  <c r="H127" i="36"/>
  <c r="H128" i="36"/>
  <c r="H129" i="36"/>
  <c r="H130" i="36"/>
  <c r="H131" i="36"/>
  <c r="H132" i="36"/>
  <c r="H133" i="36"/>
  <c r="H134" i="36"/>
  <c r="H135" i="36"/>
  <c r="H136" i="36"/>
  <c r="H137" i="36"/>
  <c r="H138" i="36"/>
  <c r="H139" i="36"/>
  <c r="H140" i="36"/>
  <c r="H141" i="36"/>
  <c r="H142" i="36"/>
  <c r="H143" i="36"/>
  <c r="H144" i="36"/>
  <c r="H145" i="36"/>
  <c r="H146" i="36"/>
  <c r="H147" i="36"/>
  <c r="H148" i="36"/>
  <c r="H149" i="36"/>
  <c r="H150" i="36"/>
  <c r="H151" i="36"/>
  <c r="H152" i="36"/>
  <c r="H153" i="36"/>
  <c r="H154" i="36"/>
  <c r="H155" i="36"/>
  <c r="H156" i="36"/>
  <c r="H157" i="36"/>
  <c r="H158" i="36"/>
  <c r="H159" i="36"/>
  <c r="H160" i="36"/>
  <c r="H161" i="36"/>
  <c r="H162" i="36"/>
  <c r="H163" i="36"/>
  <c r="H164" i="36"/>
  <c r="H165" i="36"/>
  <c r="H166" i="36"/>
  <c r="H167" i="36"/>
  <c r="H168" i="36"/>
  <c r="H169" i="36"/>
  <c r="H170" i="36"/>
  <c r="H171" i="36"/>
  <c r="H172" i="36"/>
  <c r="H173" i="36"/>
  <c r="H174" i="36"/>
  <c r="H175" i="36"/>
  <c r="H176" i="36"/>
  <c r="H177" i="36"/>
  <c r="H178" i="36"/>
  <c r="H179" i="36"/>
  <c r="H180" i="36"/>
  <c r="H181" i="36"/>
  <c r="H182" i="36"/>
  <c r="H183" i="36"/>
  <c r="H184" i="36"/>
  <c r="H185" i="36"/>
  <c r="H186" i="36"/>
  <c r="H187" i="36"/>
  <c r="H188" i="36"/>
  <c r="H189" i="36"/>
  <c r="H190" i="36"/>
  <c r="H191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H318" i="36"/>
  <c r="H319" i="36"/>
  <c r="H320" i="36"/>
  <c r="H321" i="36"/>
  <c r="H322" i="36"/>
  <c r="H323" i="36"/>
  <c r="H324" i="36"/>
  <c r="H325" i="36"/>
  <c r="H326" i="36"/>
  <c r="H327" i="36"/>
  <c r="H328" i="36"/>
  <c r="H329" i="36"/>
  <c r="H330" i="36"/>
  <c r="H331" i="36"/>
  <c r="H332" i="36"/>
  <c r="H333" i="36"/>
  <c r="H334" i="36"/>
  <c r="H335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H357" i="36"/>
  <c r="H358" i="36"/>
  <c r="H359" i="36"/>
  <c r="H360" i="36"/>
  <c r="H361" i="36"/>
  <c r="H362" i="36"/>
  <c r="H363" i="36"/>
  <c r="H364" i="36"/>
  <c r="H365" i="36"/>
  <c r="H366" i="36"/>
  <c r="H367" i="36"/>
  <c r="H368" i="36"/>
  <c r="H369" i="36"/>
  <c r="H370" i="36"/>
  <c r="H371" i="36"/>
  <c r="H372" i="36"/>
  <c r="H373" i="36"/>
  <c r="H374" i="36"/>
  <c r="H375" i="36"/>
  <c r="H376" i="36"/>
  <c r="H377" i="36"/>
  <c r="H378" i="36"/>
  <c r="H379" i="36"/>
  <c r="H380" i="36"/>
  <c r="H381" i="36"/>
  <c r="H382" i="36"/>
  <c r="H383" i="36"/>
  <c r="H384" i="36"/>
  <c r="H385" i="36"/>
  <c r="H386" i="36"/>
  <c r="H387" i="36"/>
  <c r="H388" i="36"/>
  <c r="H389" i="36"/>
  <c r="H390" i="36"/>
  <c r="H391" i="36"/>
  <c r="H392" i="36"/>
  <c r="H393" i="36"/>
  <c r="H394" i="36"/>
  <c r="H395" i="36"/>
  <c r="H396" i="36"/>
  <c r="H397" i="36"/>
  <c r="H398" i="36"/>
  <c r="H399" i="36"/>
  <c r="H400" i="36"/>
  <c r="H401" i="36"/>
  <c r="H402" i="36"/>
  <c r="H403" i="36"/>
  <c r="H404" i="36"/>
  <c r="H405" i="36"/>
  <c r="H406" i="36"/>
  <c r="H407" i="36"/>
  <c r="H408" i="36"/>
  <c r="H409" i="36"/>
  <c r="H410" i="36"/>
  <c r="H411" i="36"/>
  <c r="H412" i="36"/>
  <c r="H413" i="36"/>
  <c r="H414" i="36"/>
  <c r="H415" i="36"/>
  <c r="H416" i="36"/>
  <c r="H417" i="36"/>
  <c r="H418" i="36"/>
  <c r="H419" i="36"/>
  <c r="H420" i="36"/>
  <c r="H421" i="36"/>
  <c r="H422" i="36"/>
  <c r="H423" i="36"/>
  <c r="H424" i="36"/>
  <c r="H425" i="36"/>
  <c r="H426" i="36"/>
  <c r="H427" i="36"/>
  <c r="H428" i="36"/>
  <c r="H429" i="36"/>
  <c r="H430" i="36"/>
  <c r="H431" i="36"/>
  <c r="H432" i="36"/>
  <c r="H433" i="36"/>
  <c r="H434" i="36"/>
  <c r="H435" i="36"/>
  <c r="H436" i="36"/>
  <c r="H437" i="36"/>
  <c r="H438" i="36"/>
  <c r="H439" i="36"/>
  <c r="H440" i="36"/>
  <c r="H441" i="36"/>
  <c r="H442" i="36"/>
  <c r="H443" i="36"/>
  <c r="H444" i="36"/>
  <c r="H445" i="36"/>
  <c r="H446" i="36"/>
  <c r="H447" i="36"/>
  <c r="H448" i="36"/>
  <c r="H449" i="36"/>
  <c r="H450" i="36"/>
  <c r="H451" i="36"/>
  <c r="H452" i="36"/>
  <c r="H453" i="36"/>
  <c r="H454" i="36"/>
  <c r="H455" i="36"/>
  <c r="H456" i="36"/>
  <c r="H457" i="36"/>
  <c r="H458" i="36"/>
  <c r="H459" i="36"/>
  <c r="H460" i="36"/>
  <c r="H461" i="36"/>
  <c r="H462" i="36"/>
  <c r="H463" i="36"/>
  <c r="H464" i="36"/>
  <c r="H465" i="36"/>
  <c r="H466" i="36"/>
  <c r="H467" i="36"/>
  <c r="H468" i="36"/>
  <c r="H469" i="36"/>
  <c r="H470" i="36"/>
  <c r="H471" i="36"/>
  <c r="H472" i="36"/>
  <c r="H473" i="36"/>
  <c r="H474" i="36"/>
  <c r="H475" i="36"/>
  <c r="H476" i="36"/>
  <c r="H477" i="36"/>
  <c r="H478" i="36"/>
  <c r="H479" i="36"/>
  <c r="H480" i="36"/>
  <c r="H481" i="36"/>
  <c r="H482" i="36"/>
  <c r="H483" i="36"/>
  <c r="H484" i="36"/>
  <c r="H485" i="36"/>
  <c r="H486" i="36"/>
  <c r="H487" i="36"/>
  <c r="H488" i="36"/>
  <c r="H489" i="36"/>
  <c r="H490" i="36"/>
  <c r="H491" i="36"/>
  <c r="H492" i="36"/>
  <c r="H493" i="36"/>
  <c r="H494" i="36"/>
  <c r="H495" i="36"/>
  <c r="H496" i="36"/>
  <c r="H497" i="36"/>
  <c r="H498" i="36"/>
  <c r="H499" i="36"/>
  <c r="H500" i="36"/>
  <c r="H501" i="36"/>
  <c r="H502" i="36"/>
  <c r="H503" i="36"/>
  <c r="H504" i="36"/>
  <c r="H505" i="36"/>
  <c r="H506" i="36"/>
  <c r="H507" i="36"/>
  <c r="H508" i="36"/>
  <c r="H509" i="36"/>
  <c r="H510" i="36"/>
  <c r="H511" i="36"/>
  <c r="H512" i="36"/>
  <c r="H513" i="36"/>
  <c r="H514" i="36"/>
  <c r="H515" i="36"/>
  <c r="H516" i="36"/>
  <c r="H517" i="36"/>
  <c r="H518" i="36"/>
  <c r="H519" i="36"/>
  <c r="H520" i="36"/>
  <c r="H521" i="36"/>
  <c r="H522" i="36"/>
  <c r="H523" i="36"/>
  <c r="H524" i="36"/>
  <c r="H525" i="36"/>
  <c r="H526" i="36"/>
  <c r="H527" i="36"/>
  <c r="H528" i="36"/>
  <c r="H529" i="36"/>
  <c r="H530" i="36"/>
  <c r="H531" i="36"/>
  <c r="H532" i="36"/>
  <c r="H533" i="36"/>
  <c r="H534" i="36"/>
  <c r="H535" i="36"/>
  <c r="H536" i="36"/>
  <c r="H537" i="36"/>
  <c r="H538" i="36"/>
  <c r="H539" i="36"/>
  <c r="H540" i="36"/>
  <c r="H541" i="36"/>
  <c r="H542" i="36"/>
  <c r="H543" i="36"/>
  <c r="H544" i="36"/>
  <c r="H545" i="36"/>
  <c r="H546" i="36"/>
  <c r="H547" i="36"/>
  <c r="H548" i="36"/>
  <c r="H549" i="36"/>
  <c r="H550" i="36"/>
  <c r="H551" i="36"/>
  <c r="H552" i="36"/>
  <c r="H553" i="36"/>
  <c r="H554" i="36"/>
  <c r="H555" i="36"/>
  <c r="H556" i="36"/>
  <c r="H557" i="36"/>
  <c r="H558" i="36"/>
  <c r="H559" i="36"/>
  <c r="H560" i="36"/>
  <c r="H561" i="36"/>
  <c r="H562" i="36"/>
  <c r="H563" i="36"/>
  <c r="H564" i="36"/>
  <c r="H565" i="36"/>
  <c r="H566" i="36"/>
  <c r="H567" i="36"/>
  <c r="H568" i="36"/>
  <c r="H569" i="36"/>
  <c r="H570" i="36"/>
  <c r="H571" i="36"/>
  <c r="H572" i="36"/>
  <c r="H573" i="36"/>
  <c r="H574" i="36"/>
  <c r="H575" i="36"/>
  <c r="H576" i="36"/>
  <c r="H577" i="36"/>
  <c r="H578" i="36"/>
  <c r="H579" i="36"/>
  <c r="H580" i="36"/>
  <c r="H581" i="36"/>
  <c r="H582" i="36"/>
  <c r="H583" i="36"/>
  <c r="H584" i="36"/>
  <c r="H585" i="36"/>
  <c r="H586" i="36"/>
  <c r="H587" i="36"/>
  <c r="H588" i="36"/>
  <c r="H589" i="36"/>
  <c r="H590" i="36"/>
  <c r="H591" i="36"/>
  <c r="H592" i="36"/>
  <c r="H593" i="36"/>
  <c r="H594" i="36"/>
  <c r="H595" i="36"/>
  <c r="H596" i="36"/>
  <c r="H597" i="36"/>
  <c r="H598" i="36"/>
  <c r="H599" i="36"/>
  <c r="H600" i="36"/>
  <c r="H601" i="36"/>
  <c r="H602" i="36"/>
  <c r="H603" i="36"/>
  <c r="H604" i="36"/>
  <c r="H605" i="36"/>
  <c r="H606" i="36"/>
  <c r="H607" i="36"/>
  <c r="H608" i="36"/>
  <c r="H609" i="36"/>
  <c r="H610" i="36"/>
  <c r="H611" i="36"/>
  <c r="H612" i="36"/>
  <c r="H613" i="36"/>
  <c r="H614" i="36"/>
  <c r="H615" i="36"/>
  <c r="H616" i="36"/>
  <c r="H617" i="36"/>
  <c r="H618" i="36"/>
  <c r="H619" i="36"/>
  <c r="H620" i="36"/>
  <c r="H621" i="36"/>
  <c r="H622" i="36"/>
  <c r="H623" i="36"/>
  <c r="H624" i="36"/>
  <c r="H625" i="36"/>
  <c r="H626" i="36"/>
  <c r="H627" i="36"/>
  <c r="H628" i="36"/>
  <c r="H629" i="36"/>
  <c r="H630" i="36"/>
  <c r="H631" i="36"/>
  <c r="H632" i="36"/>
  <c r="H633" i="36"/>
  <c r="H634" i="36"/>
  <c r="H635" i="36"/>
  <c r="H636" i="36"/>
  <c r="H637" i="36"/>
  <c r="H638" i="36"/>
  <c r="H639" i="36"/>
  <c r="H640" i="36"/>
  <c r="H641" i="36"/>
  <c r="H642" i="36"/>
  <c r="H643" i="36"/>
  <c r="H644" i="36"/>
  <c r="H645" i="36"/>
  <c r="H646" i="36"/>
  <c r="H647" i="36"/>
  <c r="H648" i="36"/>
  <c r="H649" i="36"/>
  <c r="H650" i="36"/>
  <c r="H651" i="36"/>
  <c r="H652" i="36"/>
  <c r="H653" i="36"/>
  <c r="H654" i="36"/>
  <c r="H655" i="36"/>
  <c r="H656" i="36"/>
  <c r="H657" i="36"/>
  <c r="H658" i="36"/>
  <c r="H659" i="36"/>
  <c r="H660" i="36"/>
  <c r="H661" i="36"/>
  <c r="H662" i="36"/>
  <c r="H663" i="36"/>
  <c r="H664" i="36"/>
  <c r="H665" i="36"/>
  <c r="H666" i="36"/>
  <c r="H667" i="36"/>
  <c r="H668" i="36"/>
  <c r="H669" i="36"/>
  <c r="H670" i="36"/>
  <c r="H671" i="36"/>
  <c r="H672" i="36"/>
  <c r="H673" i="36"/>
  <c r="H674" i="36"/>
  <c r="H675" i="36"/>
  <c r="H676" i="36"/>
  <c r="H677" i="36"/>
  <c r="H678" i="36"/>
  <c r="H679" i="36"/>
  <c r="H680" i="36"/>
  <c r="H681" i="36"/>
  <c r="H682" i="36"/>
  <c r="H683" i="36"/>
  <c r="H684" i="36"/>
  <c r="H685" i="36"/>
  <c r="H686" i="36"/>
  <c r="H687" i="36"/>
  <c r="H688" i="36"/>
  <c r="H689" i="36"/>
  <c r="H690" i="36"/>
  <c r="H691" i="36"/>
  <c r="H692" i="36"/>
  <c r="H693" i="36"/>
  <c r="H694" i="36"/>
  <c r="H695" i="36"/>
  <c r="H696" i="36"/>
  <c r="H697" i="36"/>
  <c r="H698" i="36"/>
  <c r="H699" i="36"/>
  <c r="H700" i="36"/>
  <c r="H701" i="36"/>
  <c r="H702" i="36"/>
  <c r="H703" i="36"/>
  <c r="H704" i="36"/>
  <c r="H705" i="36"/>
  <c r="H706" i="36"/>
  <c r="H707" i="36"/>
  <c r="H708" i="36"/>
  <c r="H709" i="36"/>
  <c r="H710" i="36"/>
  <c r="H711" i="36"/>
  <c r="H712" i="36"/>
  <c r="H713" i="36"/>
  <c r="H714" i="36"/>
  <c r="H715" i="36"/>
  <c r="H716" i="36"/>
  <c r="H717" i="36"/>
  <c r="H718" i="36"/>
  <c r="H719" i="36"/>
  <c r="H720" i="36"/>
  <c r="H721" i="36"/>
  <c r="H722" i="36"/>
  <c r="H723" i="36"/>
  <c r="H724" i="36"/>
  <c r="H725" i="36"/>
  <c r="H726" i="36"/>
  <c r="H727" i="36"/>
  <c r="H728" i="36"/>
  <c r="H729" i="36"/>
  <c r="H730" i="36"/>
  <c r="H731" i="36"/>
  <c r="H732" i="36"/>
  <c r="H733" i="36"/>
  <c r="H734" i="36"/>
  <c r="H735" i="36"/>
  <c r="H736" i="36"/>
  <c r="H737" i="36"/>
  <c r="H738" i="36"/>
  <c r="H739" i="36"/>
  <c r="H740" i="36"/>
  <c r="H741" i="36"/>
  <c r="H742" i="36"/>
  <c r="H743" i="36"/>
  <c r="H744" i="36"/>
  <c r="H745" i="36"/>
  <c r="H746" i="36"/>
  <c r="H747" i="36"/>
  <c r="H748" i="36"/>
  <c r="H749" i="36"/>
  <c r="H750" i="36"/>
  <c r="H751" i="36"/>
  <c r="H752" i="36"/>
  <c r="H753" i="36"/>
  <c r="H754" i="36"/>
  <c r="H755" i="36"/>
  <c r="H756" i="36"/>
  <c r="H757" i="36"/>
  <c r="H758" i="36"/>
  <c r="H759" i="36"/>
  <c r="H760" i="36"/>
  <c r="H761" i="36"/>
  <c r="H762" i="36"/>
  <c r="H763" i="36"/>
  <c r="H764" i="36"/>
  <c r="H765" i="36"/>
  <c r="H766" i="36"/>
  <c r="H767" i="36"/>
  <c r="H768" i="36"/>
  <c r="H769" i="36"/>
  <c r="H770" i="36"/>
  <c r="H771" i="36"/>
  <c r="H772" i="36"/>
  <c r="H773" i="36"/>
  <c r="H774" i="36"/>
  <c r="H775" i="36"/>
  <c r="H776" i="36"/>
  <c r="H777" i="36"/>
  <c r="H778" i="36"/>
  <c r="H779" i="36"/>
  <c r="H780" i="36"/>
  <c r="H781" i="36"/>
  <c r="H782" i="36"/>
  <c r="H783" i="36"/>
  <c r="H784" i="36"/>
  <c r="H785" i="36"/>
  <c r="H786" i="36"/>
  <c r="H787" i="36"/>
  <c r="H788" i="36"/>
  <c r="H789" i="36"/>
  <c r="H790" i="36"/>
  <c r="H791" i="36"/>
  <c r="H792" i="36"/>
  <c r="H793" i="36"/>
  <c r="H794" i="36"/>
  <c r="H795" i="36"/>
  <c r="H796" i="36"/>
  <c r="H797" i="36"/>
  <c r="H798" i="36"/>
  <c r="H799" i="36"/>
  <c r="H800" i="36"/>
  <c r="H801" i="36"/>
  <c r="H802" i="36"/>
  <c r="H803" i="36"/>
  <c r="H804" i="36"/>
  <c r="H805" i="36"/>
  <c r="H806" i="36"/>
  <c r="H807" i="36"/>
  <c r="H808" i="36"/>
  <c r="H809" i="36"/>
  <c r="H810" i="36"/>
  <c r="H811" i="36"/>
  <c r="H812" i="36"/>
  <c r="H813" i="36"/>
  <c r="H814" i="36"/>
  <c r="H815" i="36"/>
  <c r="H816" i="36"/>
  <c r="H817" i="36"/>
  <c r="H818" i="36"/>
  <c r="H819" i="36"/>
  <c r="H820" i="36"/>
  <c r="H821" i="36"/>
  <c r="H822" i="36"/>
  <c r="H823" i="36"/>
  <c r="H824" i="36"/>
  <c r="H825" i="36"/>
  <c r="H826" i="36"/>
  <c r="H827" i="36"/>
  <c r="H828" i="36"/>
  <c r="H829" i="36"/>
  <c r="H830" i="36"/>
  <c r="H831" i="36"/>
  <c r="H832" i="36"/>
  <c r="H833" i="36"/>
  <c r="H834" i="36"/>
  <c r="H835" i="36"/>
  <c r="H836" i="36"/>
  <c r="H837" i="36"/>
  <c r="H838" i="36"/>
  <c r="H839" i="36"/>
  <c r="H840" i="36"/>
  <c r="H841" i="36"/>
  <c r="H842" i="36"/>
  <c r="H4" i="36"/>
  <c r="J5" i="36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J36" i="36"/>
  <c r="J37" i="36"/>
  <c r="J38" i="36"/>
  <c r="J39" i="36"/>
  <c r="J40" i="36"/>
  <c r="J41" i="36"/>
  <c r="J42" i="36"/>
  <c r="J43" i="36"/>
  <c r="J44" i="36"/>
  <c r="J45" i="36"/>
  <c r="J46" i="36"/>
  <c r="J47" i="36"/>
  <c r="J48" i="36"/>
  <c r="J49" i="36"/>
  <c r="J50" i="36"/>
  <c r="J51" i="36"/>
  <c r="J52" i="36"/>
  <c r="J53" i="36"/>
  <c r="J54" i="36"/>
  <c r="J55" i="36"/>
  <c r="J56" i="36"/>
  <c r="J57" i="36"/>
  <c r="J58" i="36"/>
  <c r="J59" i="36"/>
  <c r="J60" i="36"/>
  <c r="J61" i="36"/>
  <c r="J62" i="36"/>
  <c r="J63" i="36"/>
  <c r="J64" i="36"/>
  <c r="J65" i="36"/>
  <c r="J66" i="36"/>
  <c r="J67" i="36"/>
  <c r="J68" i="36"/>
  <c r="J69" i="36"/>
  <c r="J70" i="36"/>
  <c r="J71" i="36"/>
  <c r="J72" i="36"/>
  <c r="J73" i="36"/>
  <c r="J74" i="36"/>
  <c r="J75" i="36"/>
  <c r="J76" i="36"/>
  <c r="J77" i="36"/>
  <c r="J78" i="36"/>
  <c r="J79" i="36"/>
  <c r="J80" i="36"/>
  <c r="J81" i="36"/>
  <c r="J82" i="36"/>
  <c r="J83" i="36"/>
  <c r="J84" i="36"/>
  <c r="J85" i="36"/>
  <c r="J86" i="36"/>
  <c r="J87" i="36"/>
  <c r="J88" i="36"/>
  <c r="J89" i="36"/>
  <c r="J90" i="36"/>
  <c r="J91" i="36"/>
  <c r="J92" i="36"/>
  <c r="J93" i="36"/>
  <c r="J94" i="36"/>
  <c r="J95" i="36"/>
  <c r="J96" i="36"/>
  <c r="J97" i="36"/>
  <c r="J98" i="36"/>
  <c r="J99" i="36"/>
  <c r="J100" i="36"/>
  <c r="J101" i="36"/>
  <c r="J102" i="36"/>
  <c r="J103" i="36"/>
  <c r="J104" i="36"/>
  <c r="J105" i="36"/>
  <c r="J106" i="36"/>
  <c r="J107" i="36"/>
  <c r="J108" i="36"/>
  <c r="J109" i="36"/>
  <c r="J110" i="36"/>
  <c r="J111" i="36"/>
  <c r="J112" i="36"/>
  <c r="J113" i="36"/>
  <c r="J114" i="36"/>
  <c r="J115" i="36"/>
  <c r="J116" i="36"/>
  <c r="J117" i="36"/>
  <c r="J118" i="36"/>
  <c r="J119" i="36"/>
  <c r="J120" i="36"/>
  <c r="J121" i="36"/>
  <c r="J122" i="36"/>
  <c r="J123" i="36"/>
  <c r="J124" i="36"/>
  <c r="J125" i="36"/>
  <c r="J126" i="36"/>
  <c r="J127" i="36"/>
  <c r="J128" i="36"/>
  <c r="J129" i="36"/>
  <c r="J130" i="36"/>
  <c r="J131" i="36"/>
  <c r="J132" i="36"/>
  <c r="J133" i="36"/>
  <c r="J134" i="36"/>
  <c r="J135" i="36"/>
  <c r="J136" i="36"/>
  <c r="J137" i="36"/>
  <c r="J138" i="36"/>
  <c r="J139" i="36"/>
  <c r="J140" i="36"/>
  <c r="J141" i="36"/>
  <c r="J142" i="36"/>
  <c r="J143" i="36"/>
  <c r="J144" i="36"/>
  <c r="J145" i="36"/>
  <c r="J146" i="36"/>
  <c r="J147" i="36"/>
  <c r="J148" i="36"/>
  <c r="J149" i="36"/>
  <c r="J150" i="36"/>
  <c r="J151" i="36"/>
  <c r="J152" i="36"/>
  <c r="J153" i="36"/>
  <c r="J154" i="36"/>
  <c r="J155" i="36"/>
  <c r="J156" i="36"/>
  <c r="J157" i="36"/>
  <c r="J158" i="36"/>
  <c r="J159" i="36"/>
  <c r="J160" i="36"/>
  <c r="J161" i="36"/>
  <c r="J162" i="36"/>
  <c r="J163" i="36"/>
  <c r="J164" i="36"/>
  <c r="J165" i="36"/>
  <c r="J166" i="36"/>
  <c r="J167" i="36"/>
  <c r="J168" i="36"/>
  <c r="J169" i="36"/>
  <c r="J170" i="36"/>
  <c r="J171" i="36"/>
  <c r="J172" i="36"/>
  <c r="J173" i="36"/>
  <c r="J174" i="36"/>
  <c r="J175" i="36"/>
  <c r="J176" i="36"/>
  <c r="J177" i="36"/>
  <c r="J178" i="36"/>
  <c r="J179" i="36"/>
  <c r="J180" i="36"/>
  <c r="J181" i="36"/>
  <c r="J182" i="36"/>
  <c r="J183" i="36"/>
  <c r="J184" i="36"/>
  <c r="J185" i="36"/>
  <c r="J186" i="36"/>
  <c r="J187" i="36"/>
  <c r="J188" i="36"/>
  <c r="J189" i="36"/>
  <c r="J190" i="36"/>
  <c r="J191" i="36"/>
  <c r="J192" i="36"/>
  <c r="J193" i="36"/>
  <c r="J194" i="36"/>
  <c r="J195" i="36"/>
  <c r="J196" i="36"/>
  <c r="J197" i="36"/>
  <c r="J198" i="36"/>
  <c r="J199" i="36"/>
  <c r="J200" i="36"/>
  <c r="J201" i="36"/>
  <c r="J202" i="36"/>
  <c r="J203" i="36"/>
  <c r="J204" i="36"/>
  <c r="J205" i="36"/>
  <c r="J206" i="36"/>
  <c r="J207" i="36"/>
  <c r="J208" i="36"/>
  <c r="J209" i="36"/>
  <c r="J210" i="36"/>
  <c r="J211" i="36"/>
  <c r="J212" i="36"/>
  <c r="J213" i="36"/>
  <c r="J214" i="36"/>
  <c r="J215" i="36"/>
  <c r="J216" i="36"/>
  <c r="J217" i="36"/>
  <c r="J218" i="36"/>
  <c r="J219" i="36"/>
  <c r="J220" i="36"/>
  <c r="J221" i="36"/>
  <c r="J222" i="36"/>
  <c r="J223" i="36"/>
  <c r="J224" i="36"/>
  <c r="J225" i="36"/>
  <c r="J226" i="36"/>
  <c r="J227" i="36"/>
  <c r="J228" i="36"/>
  <c r="J229" i="36"/>
  <c r="J230" i="36"/>
  <c r="J231" i="36"/>
  <c r="J232" i="36"/>
  <c r="J233" i="36"/>
  <c r="J234" i="36"/>
  <c r="J235" i="36"/>
  <c r="J236" i="36"/>
  <c r="J237" i="36"/>
  <c r="J238" i="36"/>
  <c r="J239" i="36"/>
  <c r="J240" i="36"/>
  <c r="J241" i="36"/>
  <c r="J242" i="36"/>
  <c r="J243" i="36"/>
  <c r="J244" i="36"/>
  <c r="J245" i="36"/>
  <c r="J246" i="36"/>
  <c r="J247" i="36"/>
  <c r="J248" i="36"/>
  <c r="J249" i="36"/>
  <c r="J250" i="36"/>
  <c r="J251" i="36"/>
  <c r="J252" i="36"/>
  <c r="J253" i="36"/>
  <c r="J254" i="36"/>
  <c r="J255" i="36"/>
  <c r="J256" i="36"/>
  <c r="J257" i="36"/>
  <c r="J258" i="36"/>
  <c r="J259" i="36"/>
  <c r="J260" i="36"/>
  <c r="J261" i="36"/>
  <c r="J262" i="36"/>
  <c r="J263" i="36"/>
  <c r="J264" i="36"/>
  <c r="J265" i="36"/>
  <c r="J266" i="36"/>
  <c r="J267" i="36"/>
  <c r="J268" i="36"/>
  <c r="J269" i="36"/>
  <c r="J270" i="36"/>
  <c r="J271" i="36"/>
  <c r="J272" i="36"/>
  <c r="J273" i="36"/>
  <c r="J274" i="36"/>
  <c r="J275" i="36"/>
  <c r="J276" i="36"/>
  <c r="J277" i="36"/>
  <c r="J278" i="36"/>
  <c r="J279" i="36"/>
  <c r="J280" i="36"/>
  <c r="J281" i="36"/>
  <c r="J282" i="36"/>
  <c r="J283" i="36"/>
  <c r="J284" i="36"/>
  <c r="J285" i="36"/>
  <c r="J286" i="36"/>
  <c r="J287" i="36"/>
  <c r="J288" i="36"/>
  <c r="J289" i="36"/>
  <c r="J290" i="36"/>
  <c r="J291" i="36"/>
  <c r="J292" i="36"/>
  <c r="J293" i="36"/>
  <c r="J294" i="36"/>
  <c r="J295" i="36"/>
  <c r="J296" i="36"/>
  <c r="J297" i="36"/>
  <c r="J298" i="36"/>
  <c r="J299" i="36"/>
  <c r="J300" i="36"/>
  <c r="J301" i="36"/>
  <c r="J302" i="36"/>
  <c r="J303" i="36"/>
  <c r="J304" i="36"/>
  <c r="J305" i="36"/>
  <c r="J306" i="36"/>
  <c r="J307" i="36"/>
  <c r="J308" i="36"/>
  <c r="J309" i="36"/>
  <c r="J310" i="36"/>
  <c r="J311" i="36"/>
  <c r="J312" i="36"/>
  <c r="J313" i="36"/>
  <c r="J314" i="36"/>
  <c r="J315" i="36"/>
  <c r="J316" i="36"/>
  <c r="J317" i="36"/>
  <c r="J318" i="36"/>
  <c r="J319" i="36"/>
  <c r="J320" i="36"/>
  <c r="J321" i="36"/>
  <c r="J322" i="36"/>
  <c r="J323" i="36"/>
  <c r="J324" i="36"/>
  <c r="J325" i="36"/>
  <c r="J326" i="36"/>
  <c r="J327" i="36"/>
  <c r="J328" i="36"/>
  <c r="J329" i="36"/>
  <c r="J330" i="36"/>
  <c r="J331" i="36"/>
  <c r="J332" i="36"/>
  <c r="J333" i="36"/>
  <c r="J334" i="36"/>
  <c r="J335" i="36"/>
  <c r="J336" i="36"/>
  <c r="J337" i="36"/>
  <c r="J338" i="36"/>
  <c r="J339" i="36"/>
  <c r="J340" i="36"/>
  <c r="J341" i="36"/>
  <c r="J342" i="36"/>
  <c r="J343" i="36"/>
  <c r="J344" i="36"/>
  <c r="J345" i="36"/>
  <c r="J346" i="36"/>
  <c r="J347" i="36"/>
  <c r="J348" i="36"/>
  <c r="J349" i="36"/>
  <c r="J350" i="36"/>
  <c r="J351" i="36"/>
  <c r="J352" i="36"/>
  <c r="J353" i="36"/>
  <c r="J354" i="36"/>
  <c r="J355" i="36"/>
  <c r="J356" i="36"/>
  <c r="J357" i="36"/>
  <c r="J358" i="36"/>
  <c r="J359" i="36"/>
  <c r="J360" i="36"/>
  <c r="J361" i="36"/>
  <c r="J362" i="36"/>
  <c r="J363" i="36"/>
  <c r="J364" i="36"/>
  <c r="J365" i="36"/>
  <c r="J366" i="36"/>
  <c r="J367" i="36"/>
  <c r="J368" i="36"/>
  <c r="J369" i="36"/>
  <c r="J370" i="36"/>
  <c r="J371" i="36"/>
  <c r="J372" i="36"/>
  <c r="J373" i="36"/>
  <c r="J374" i="36"/>
  <c r="J375" i="36"/>
  <c r="J376" i="36"/>
  <c r="J377" i="36"/>
  <c r="J378" i="36"/>
  <c r="J379" i="36"/>
  <c r="J380" i="36"/>
  <c r="J381" i="36"/>
  <c r="J382" i="36"/>
  <c r="J383" i="36"/>
  <c r="J384" i="36"/>
  <c r="J385" i="36"/>
  <c r="J386" i="36"/>
  <c r="J387" i="36"/>
  <c r="J388" i="36"/>
  <c r="J389" i="36"/>
  <c r="J390" i="36"/>
  <c r="J391" i="36"/>
  <c r="J392" i="36"/>
  <c r="J393" i="36"/>
  <c r="J394" i="36"/>
  <c r="J395" i="36"/>
  <c r="J396" i="36"/>
  <c r="J397" i="36"/>
  <c r="J398" i="36"/>
  <c r="J399" i="36"/>
  <c r="J400" i="36"/>
  <c r="J401" i="36"/>
  <c r="J402" i="36"/>
  <c r="J403" i="36"/>
  <c r="J404" i="36"/>
  <c r="J405" i="36"/>
  <c r="J406" i="36"/>
  <c r="J407" i="36"/>
  <c r="J408" i="36"/>
  <c r="J409" i="36"/>
  <c r="J410" i="36"/>
  <c r="J411" i="36"/>
  <c r="J412" i="36"/>
  <c r="J413" i="36"/>
  <c r="J414" i="36"/>
  <c r="J415" i="36"/>
  <c r="J416" i="36"/>
  <c r="J417" i="36"/>
  <c r="J418" i="36"/>
  <c r="J419" i="36"/>
  <c r="J420" i="36"/>
  <c r="J421" i="36"/>
  <c r="J422" i="36"/>
  <c r="J423" i="36"/>
  <c r="J424" i="36"/>
  <c r="J425" i="36"/>
  <c r="J426" i="36"/>
  <c r="J427" i="36"/>
  <c r="J428" i="36"/>
  <c r="J429" i="36"/>
  <c r="J430" i="36"/>
  <c r="J431" i="36"/>
  <c r="J432" i="36"/>
  <c r="J433" i="36"/>
  <c r="J434" i="36"/>
  <c r="J435" i="36"/>
  <c r="J436" i="36"/>
  <c r="J437" i="36"/>
  <c r="J438" i="36"/>
  <c r="J439" i="36"/>
  <c r="J440" i="36"/>
  <c r="J441" i="36"/>
  <c r="J442" i="36"/>
  <c r="J443" i="36"/>
  <c r="J444" i="36"/>
  <c r="J445" i="36"/>
  <c r="J446" i="36"/>
  <c r="J447" i="36"/>
  <c r="J448" i="36"/>
  <c r="J449" i="36"/>
  <c r="J450" i="36"/>
  <c r="J451" i="36"/>
  <c r="J452" i="36"/>
  <c r="J453" i="36"/>
  <c r="J454" i="36"/>
  <c r="J455" i="36"/>
  <c r="J456" i="36"/>
  <c r="J457" i="36"/>
  <c r="J458" i="36"/>
  <c r="J459" i="36"/>
  <c r="J460" i="36"/>
  <c r="J461" i="36"/>
  <c r="J462" i="36"/>
  <c r="J463" i="36"/>
  <c r="J464" i="36"/>
  <c r="J465" i="36"/>
  <c r="J466" i="36"/>
  <c r="J467" i="36"/>
  <c r="J468" i="36"/>
  <c r="J469" i="36"/>
  <c r="J470" i="36"/>
  <c r="J471" i="36"/>
  <c r="J472" i="36"/>
  <c r="J473" i="36"/>
  <c r="J474" i="36"/>
  <c r="J475" i="36"/>
  <c r="J476" i="36"/>
  <c r="J477" i="36"/>
  <c r="J478" i="36"/>
  <c r="J479" i="36"/>
  <c r="J480" i="36"/>
  <c r="J481" i="36"/>
  <c r="J482" i="36"/>
  <c r="J483" i="36"/>
  <c r="J484" i="36"/>
  <c r="J485" i="36"/>
  <c r="J486" i="36"/>
  <c r="J487" i="36"/>
  <c r="J488" i="36"/>
  <c r="J489" i="36"/>
  <c r="J490" i="36"/>
  <c r="J491" i="36"/>
  <c r="J492" i="36"/>
  <c r="J493" i="36"/>
  <c r="J494" i="36"/>
  <c r="J495" i="36"/>
  <c r="J496" i="36"/>
  <c r="J497" i="36"/>
  <c r="J498" i="36"/>
  <c r="J499" i="36"/>
  <c r="J500" i="36"/>
  <c r="J501" i="36"/>
  <c r="J502" i="36"/>
  <c r="J503" i="36"/>
  <c r="J504" i="36"/>
  <c r="J505" i="36"/>
  <c r="J506" i="36"/>
  <c r="J507" i="36"/>
  <c r="J508" i="36"/>
  <c r="J509" i="36"/>
  <c r="J510" i="36"/>
  <c r="J511" i="36"/>
  <c r="J512" i="36"/>
  <c r="J513" i="36"/>
  <c r="J514" i="36"/>
  <c r="J515" i="36"/>
  <c r="J516" i="36"/>
  <c r="J517" i="36"/>
  <c r="J518" i="36"/>
  <c r="J519" i="36"/>
  <c r="J520" i="36"/>
  <c r="J521" i="36"/>
  <c r="J522" i="36"/>
  <c r="J523" i="36"/>
  <c r="J524" i="36"/>
  <c r="J525" i="36"/>
  <c r="J526" i="36"/>
  <c r="J527" i="36"/>
  <c r="J528" i="36"/>
  <c r="J529" i="36"/>
  <c r="J530" i="36"/>
  <c r="J531" i="36"/>
  <c r="J532" i="36"/>
  <c r="J533" i="36"/>
  <c r="J534" i="36"/>
  <c r="J535" i="36"/>
  <c r="J536" i="36"/>
  <c r="J537" i="36"/>
  <c r="J538" i="36"/>
  <c r="J539" i="36"/>
  <c r="J540" i="36"/>
  <c r="J541" i="36"/>
  <c r="J542" i="36"/>
  <c r="J543" i="36"/>
  <c r="J544" i="36"/>
  <c r="J545" i="36"/>
  <c r="J546" i="36"/>
  <c r="J547" i="36"/>
  <c r="J548" i="36"/>
  <c r="J549" i="36"/>
  <c r="J550" i="36"/>
  <c r="J551" i="36"/>
  <c r="J552" i="36"/>
  <c r="J553" i="36"/>
  <c r="J554" i="36"/>
  <c r="J555" i="36"/>
  <c r="J556" i="36"/>
  <c r="J557" i="36"/>
  <c r="J558" i="36"/>
  <c r="J559" i="36"/>
  <c r="J560" i="36"/>
  <c r="J561" i="36"/>
  <c r="J562" i="36"/>
  <c r="J563" i="36"/>
  <c r="J564" i="36"/>
  <c r="J565" i="36"/>
  <c r="J566" i="36"/>
  <c r="J567" i="36"/>
  <c r="J568" i="36"/>
  <c r="J569" i="36"/>
  <c r="J570" i="36"/>
  <c r="J571" i="36"/>
  <c r="J572" i="36"/>
  <c r="J573" i="36"/>
  <c r="J574" i="36"/>
  <c r="J575" i="36"/>
  <c r="J576" i="36"/>
  <c r="J577" i="36"/>
  <c r="J578" i="36"/>
  <c r="J579" i="36"/>
  <c r="J580" i="36"/>
  <c r="J581" i="36"/>
  <c r="J582" i="36"/>
  <c r="J583" i="36"/>
  <c r="J584" i="36"/>
  <c r="J585" i="36"/>
  <c r="J586" i="36"/>
  <c r="J587" i="36"/>
  <c r="J588" i="36"/>
  <c r="J589" i="36"/>
  <c r="J590" i="36"/>
  <c r="J591" i="36"/>
  <c r="J592" i="36"/>
  <c r="J593" i="36"/>
  <c r="J594" i="36"/>
  <c r="J595" i="36"/>
  <c r="J596" i="36"/>
  <c r="J597" i="36"/>
  <c r="J598" i="36"/>
  <c r="J599" i="36"/>
  <c r="J600" i="36"/>
  <c r="J601" i="36"/>
  <c r="J602" i="36"/>
  <c r="J603" i="36"/>
  <c r="J604" i="36"/>
  <c r="J605" i="36"/>
  <c r="J606" i="36"/>
  <c r="J607" i="36"/>
  <c r="J608" i="36"/>
  <c r="J609" i="36"/>
  <c r="J610" i="36"/>
  <c r="J611" i="36"/>
  <c r="J612" i="36"/>
  <c r="J613" i="36"/>
  <c r="J614" i="36"/>
  <c r="J615" i="36"/>
  <c r="J616" i="36"/>
  <c r="J617" i="36"/>
  <c r="J618" i="36"/>
  <c r="J619" i="36"/>
  <c r="J620" i="36"/>
  <c r="J621" i="36"/>
  <c r="J622" i="36"/>
  <c r="J623" i="36"/>
  <c r="J624" i="36"/>
  <c r="J625" i="36"/>
  <c r="J626" i="36"/>
  <c r="J627" i="36"/>
  <c r="J628" i="36"/>
  <c r="J629" i="36"/>
  <c r="J630" i="36"/>
  <c r="J631" i="36"/>
  <c r="J632" i="36"/>
  <c r="J633" i="36"/>
  <c r="J634" i="36"/>
  <c r="J635" i="36"/>
  <c r="J636" i="36"/>
  <c r="J637" i="36"/>
  <c r="J638" i="36"/>
  <c r="J639" i="36"/>
  <c r="J640" i="36"/>
  <c r="J641" i="36"/>
  <c r="J642" i="36"/>
  <c r="J643" i="36"/>
  <c r="J644" i="36"/>
  <c r="J645" i="36"/>
  <c r="J646" i="36"/>
  <c r="J647" i="36"/>
  <c r="J648" i="36"/>
  <c r="J649" i="36"/>
  <c r="J650" i="36"/>
  <c r="J651" i="36"/>
  <c r="J652" i="36"/>
  <c r="J653" i="36"/>
  <c r="J654" i="36"/>
  <c r="J655" i="36"/>
  <c r="J656" i="36"/>
  <c r="J657" i="36"/>
  <c r="J658" i="36"/>
  <c r="J659" i="36"/>
  <c r="J660" i="36"/>
  <c r="J661" i="36"/>
  <c r="J662" i="36"/>
  <c r="J663" i="36"/>
  <c r="J664" i="36"/>
  <c r="J665" i="36"/>
  <c r="J666" i="36"/>
  <c r="J667" i="36"/>
  <c r="J668" i="36"/>
  <c r="J669" i="36"/>
  <c r="J670" i="36"/>
  <c r="J671" i="36"/>
  <c r="J672" i="36"/>
  <c r="J673" i="36"/>
  <c r="J674" i="36"/>
  <c r="J675" i="36"/>
  <c r="J676" i="36"/>
  <c r="J677" i="36"/>
  <c r="J678" i="36"/>
  <c r="J679" i="36"/>
  <c r="J680" i="36"/>
  <c r="J681" i="36"/>
  <c r="J682" i="36"/>
  <c r="J683" i="36"/>
  <c r="J684" i="36"/>
  <c r="J685" i="36"/>
  <c r="J686" i="36"/>
  <c r="J687" i="36"/>
  <c r="J688" i="36"/>
  <c r="J689" i="36"/>
  <c r="J690" i="36"/>
  <c r="J691" i="36"/>
  <c r="J692" i="36"/>
  <c r="J693" i="36"/>
  <c r="J694" i="36"/>
  <c r="J695" i="36"/>
  <c r="J696" i="36"/>
  <c r="J697" i="36"/>
  <c r="J698" i="36"/>
  <c r="J699" i="36"/>
  <c r="J700" i="36"/>
  <c r="J701" i="36"/>
  <c r="J702" i="36"/>
  <c r="J703" i="36"/>
  <c r="J704" i="36"/>
  <c r="J705" i="36"/>
  <c r="J706" i="36"/>
  <c r="J707" i="36"/>
  <c r="J708" i="36"/>
  <c r="J709" i="36"/>
  <c r="J710" i="36"/>
  <c r="J711" i="36"/>
  <c r="J712" i="36"/>
  <c r="J713" i="36"/>
  <c r="J714" i="36"/>
  <c r="J715" i="36"/>
  <c r="J716" i="36"/>
  <c r="J717" i="36"/>
  <c r="J718" i="36"/>
  <c r="J719" i="36"/>
  <c r="J720" i="36"/>
  <c r="J721" i="36"/>
  <c r="J722" i="36"/>
  <c r="J723" i="36"/>
  <c r="J724" i="36"/>
  <c r="J725" i="36"/>
  <c r="J726" i="36"/>
  <c r="J727" i="36"/>
  <c r="J728" i="36"/>
  <c r="J729" i="36"/>
  <c r="J730" i="36"/>
  <c r="J731" i="36"/>
  <c r="J732" i="36"/>
  <c r="J733" i="36"/>
  <c r="J734" i="36"/>
  <c r="J735" i="36"/>
  <c r="J736" i="36"/>
  <c r="J737" i="36"/>
  <c r="J738" i="36"/>
  <c r="J739" i="36"/>
  <c r="J740" i="36"/>
  <c r="J741" i="36"/>
  <c r="J742" i="36"/>
  <c r="J743" i="36"/>
  <c r="J744" i="36"/>
  <c r="J745" i="36"/>
  <c r="J746" i="36"/>
  <c r="J747" i="36"/>
  <c r="J748" i="36"/>
  <c r="J749" i="36"/>
  <c r="J750" i="36"/>
  <c r="J751" i="36"/>
  <c r="J752" i="36"/>
  <c r="J753" i="36"/>
  <c r="J754" i="36"/>
  <c r="J755" i="36"/>
  <c r="J756" i="36"/>
  <c r="J757" i="36"/>
  <c r="J758" i="36"/>
  <c r="J759" i="36"/>
  <c r="J760" i="36"/>
  <c r="J761" i="36"/>
  <c r="J762" i="36"/>
  <c r="J763" i="36"/>
  <c r="J764" i="36"/>
  <c r="J765" i="36"/>
  <c r="J766" i="36"/>
  <c r="J767" i="36"/>
  <c r="J768" i="36"/>
  <c r="J769" i="36"/>
  <c r="J770" i="36"/>
  <c r="J771" i="36"/>
  <c r="J772" i="36"/>
  <c r="J773" i="36"/>
  <c r="J774" i="36"/>
  <c r="J775" i="36"/>
  <c r="J776" i="36"/>
  <c r="J777" i="36"/>
  <c r="J778" i="36"/>
  <c r="J779" i="36"/>
  <c r="J780" i="36"/>
  <c r="J781" i="36"/>
  <c r="J782" i="36"/>
  <c r="J783" i="36"/>
  <c r="J784" i="36"/>
  <c r="J785" i="36"/>
  <c r="J786" i="36"/>
  <c r="J787" i="36"/>
  <c r="J788" i="36"/>
  <c r="J789" i="36"/>
  <c r="J790" i="36"/>
  <c r="J791" i="36"/>
  <c r="J792" i="36"/>
  <c r="J793" i="36"/>
  <c r="J794" i="36"/>
  <c r="J795" i="36"/>
  <c r="J796" i="36"/>
  <c r="J797" i="36"/>
  <c r="J798" i="36"/>
  <c r="J799" i="36"/>
  <c r="J800" i="36"/>
  <c r="J801" i="36"/>
  <c r="J802" i="36"/>
  <c r="J803" i="36"/>
  <c r="J804" i="36"/>
  <c r="J805" i="36"/>
  <c r="J806" i="36"/>
  <c r="J807" i="36"/>
  <c r="J808" i="36"/>
  <c r="J809" i="36"/>
  <c r="J810" i="36"/>
  <c r="J811" i="36"/>
  <c r="J812" i="36"/>
  <c r="J813" i="36"/>
  <c r="J814" i="36"/>
  <c r="J815" i="36"/>
  <c r="J816" i="36"/>
  <c r="J817" i="36"/>
  <c r="J818" i="36"/>
  <c r="J819" i="36"/>
  <c r="J820" i="36"/>
  <c r="J821" i="36"/>
  <c r="J822" i="36"/>
  <c r="J823" i="36"/>
  <c r="J824" i="36"/>
  <c r="J825" i="36"/>
  <c r="J826" i="36"/>
  <c r="J827" i="36"/>
  <c r="J828" i="36"/>
  <c r="J829" i="36"/>
  <c r="J830" i="36"/>
  <c r="J831" i="36"/>
  <c r="J832" i="36"/>
  <c r="J833" i="36"/>
  <c r="J834" i="36"/>
  <c r="J835" i="36"/>
  <c r="J836" i="36"/>
  <c r="J837" i="36"/>
  <c r="J838" i="36"/>
  <c r="J839" i="36"/>
  <c r="J840" i="36"/>
  <c r="J841" i="36"/>
  <c r="J842" i="36"/>
  <c r="J4" i="36"/>
  <c r="F842" i="36"/>
  <c r="F5" i="36"/>
  <c r="F6" i="36"/>
  <c r="F7" i="36"/>
  <c r="F8" i="36"/>
  <c r="F9" i="36"/>
  <c r="F10" i="36"/>
  <c r="F11" i="36"/>
  <c r="F12" i="36"/>
  <c r="F13" i="36"/>
  <c r="F14" i="36"/>
  <c r="F15" i="36"/>
  <c r="F16" i="36"/>
  <c r="F17" i="36"/>
  <c r="F18" i="36"/>
  <c r="F19" i="36"/>
  <c r="F20" i="36"/>
  <c r="F21" i="36"/>
  <c r="F22" i="36"/>
  <c r="F23" i="36"/>
  <c r="F24" i="36"/>
  <c r="F25" i="36"/>
  <c r="F26" i="36"/>
  <c r="F27" i="36"/>
  <c r="F28" i="36"/>
  <c r="F29" i="36"/>
  <c r="F30" i="36"/>
  <c r="F31" i="36"/>
  <c r="F32" i="36"/>
  <c r="F33" i="36"/>
  <c r="F34" i="36"/>
  <c r="F35" i="36"/>
  <c r="F36" i="36"/>
  <c r="F37" i="36"/>
  <c r="F38" i="36"/>
  <c r="F39" i="36"/>
  <c r="F40" i="36"/>
  <c r="F41" i="36"/>
  <c r="F42" i="36"/>
  <c r="F43" i="36"/>
  <c r="F44" i="36"/>
  <c r="F45" i="36"/>
  <c r="F46" i="36"/>
  <c r="F47" i="36"/>
  <c r="F48" i="36"/>
  <c r="F49" i="36"/>
  <c r="F50" i="36"/>
  <c r="F51" i="36"/>
  <c r="F52" i="36"/>
  <c r="F53" i="36"/>
  <c r="F54" i="36"/>
  <c r="F55" i="36"/>
  <c r="F56" i="36"/>
  <c r="F57" i="36"/>
  <c r="F58" i="36"/>
  <c r="F59" i="36"/>
  <c r="F60" i="36"/>
  <c r="F61" i="36"/>
  <c r="F62" i="36"/>
  <c r="F63" i="36"/>
  <c r="F64" i="36"/>
  <c r="F65" i="36"/>
  <c r="F66" i="36"/>
  <c r="F67" i="36"/>
  <c r="F68" i="36"/>
  <c r="F69" i="36"/>
  <c r="F70" i="36"/>
  <c r="F71" i="36"/>
  <c r="F72" i="36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86" i="36"/>
  <c r="F87" i="36"/>
  <c r="F88" i="36"/>
  <c r="F89" i="36"/>
  <c r="F90" i="36"/>
  <c r="F91" i="36"/>
  <c r="F92" i="36"/>
  <c r="F93" i="36"/>
  <c r="F94" i="36"/>
  <c r="F95" i="36"/>
  <c r="F96" i="36"/>
  <c r="F97" i="36"/>
  <c r="F98" i="36"/>
  <c r="F99" i="36"/>
  <c r="F100" i="36"/>
  <c r="F101" i="36"/>
  <c r="F102" i="36"/>
  <c r="F103" i="36"/>
  <c r="F104" i="36"/>
  <c r="F105" i="36"/>
  <c r="F106" i="36"/>
  <c r="F107" i="36"/>
  <c r="F108" i="36"/>
  <c r="F109" i="36"/>
  <c r="F110" i="36"/>
  <c r="F111" i="36"/>
  <c r="F112" i="36"/>
  <c r="F113" i="36"/>
  <c r="F114" i="36"/>
  <c r="F115" i="36"/>
  <c r="F116" i="36"/>
  <c r="F117" i="36"/>
  <c r="F118" i="36"/>
  <c r="F119" i="36"/>
  <c r="F120" i="36"/>
  <c r="F121" i="36"/>
  <c r="F122" i="36"/>
  <c r="F123" i="36"/>
  <c r="F124" i="36"/>
  <c r="F125" i="36"/>
  <c r="F126" i="36"/>
  <c r="F127" i="36"/>
  <c r="F128" i="36"/>
  <c r="F129" i="36"/>
  <c r="F130" i="36"/>
  <c r="F131" i="36"/>
  <c r="F132" i="36"/>
  <c r="F133" i="36"/>
  <c r="F134" i="36"/>
  <c r="F135" i="36"/>
  <c r="F136" i="36"/>
  <c r="F137" i="36"/>
  <c r="F138" i="36"/>
  <c r="F139" i="36"/>
  <c r="F140" i="36"/>
  <c r="F141" i="36"/>
  <c r="F142" i="36"/>
  <c r="F143" i="36"/>
  <c r="F144" i="36"/>
  <c r="F145" i="36"/>
  <c r="F146" i="36"/>
  <c r="F147" i="36"/>
  <c r="F148" i="36"/>
  <c r="F149" i="36"/>
  <c r="F150" i="36"/>
  <c r="F151" i="36"/>
  <c r="F152" i="36"/>
  <c r="F153" i="36"/>
  <c r="F154" i="36"/>
  <c r="F155" i="36"/>
  <c r="F156" i="36"/>
  <c r="F157" i="36"/>
  <c r="F158" i="36"/>
  <c r="F159" i="36"/>
  <c r="F160" i="36"/>
  <c r="F161" i="36"/>
  <c r="F162" i="36"/>
  <c r="F163" i="36"/>
  <c r="F164" i="36"/>
  <c r="F165" i="36"/>
  <c r="F166" i="36"/>
  <c r="F167" i="36"/>
  <c r="F168" i="36"/>
  <c r="F169" i="36"/>
  <c r="F170" i="36"/>
  <c r="F171" i="36"/>
  <c r="F172" i="36"/>
  <c r="F173" i="36"/>
  <c r="F174" i="36"/>
  <c r="F175" i="36"/>
  <c r="F176" i="36"/>
  <c r="F177" i="36"/>
  <c r="F178" i="36"/>
  <c r="F179" i="36"/>
  <c r="F180" i="36"/>
  <c r="F181" i="36"/>
  <c r="F182" i="36"/>
  <c r="F183" i="36"/>
  <c r="F184" i="36"/>
  <c r="F185" i="36"/>
  <c r="F186" i="36"/>
  <c r="F187" i="36"/>
  <c r="F188" i="36"/>
  <c r="F189" i="36"/>
  <c r="F190" i="36"/>
  <c r="F191" i="36"/>
  <c r="F192" i="36"/>
  <c r="F193" i="36"/>
  <c r="F194" i="36"/>
  <c r="F195" i="36"/>
  <c r="F196" i="36"/>
  <c r="F197" i="36"/>
  <c r="F198" i="36"/>
  <c r="F199" i="36"/>
  <c r="F200" i="36"/>
  <c r="F201" i="36"/>
  <c r="F202" i="36"/>
  <c r="F203" i="36"/>
  <c r="F204" i="36"/>
  <c r="F205" i="36"/>
  <c r="F206" i="36"/>
  <c r="F207" i="36"/>
  <c r="F208" i="36"/>
  <c r="F209" i="36"/>
  <c r="F210" i="36"/>
  <c r="F211" i="36"/>
  <c r="F212" i="36"/>
  <c r="F213" i="36"/>
  <c r="F214" i="36"/>
  <c r="F215" i="36"/>
  <c r="F216" i="36"/>
  <c r="F217" i="36"/>
  <c r="F218" i="36"/>
  <c r="F219" i="36"/>
  <c r="F220" i="36"/>
  <c r="F221" i="36"/>
  <c r="F222" i="36"/>
  <c r="F223" i="36"/>
  <c r="F224" i="36"/>
  <c r="F225" i="36"/>
  <c r="F226" i="36"/>
  <c r="F227" i="36"/>
  <c r="F228" i="36"/>
  <c r="F229" i="36"/>
  <c r="F230" i="36"/>
  <c r="F231" i="36"/>
  <c r="F232" i="36"/>
  <c r="F233" i="36"/>
  <c r="F234" i="36"/>
  <c r="F235" i="36"/>
  <c r="F236" i="36"/>
  <c r="F237" i="36"/>
  <c r="F238" i="36"/>
  <c r="F239" i="36"/>
  <c r="F240" i="36"/>
  <c r="F241" i="36"/>
  <c r="F242" i="36"/>
  <c r="F243" i="36"/>
  <c r="F244" i="36"/>
  <c r="F245" i="36"/>
  <c r="F246" i="36"/>
  <c r="F247" i="36"/>
  <c r="F248" i="36"/>
  <c r="F249" i="36"/>
  <c r="F250" i="36"/>
  <c r="F251" i="36"/>
  <c r="F252" i="36"/>
  <c r="F253" i="36"/>
  <c r="F254" i="36"/>
  <c r="F255" i="36"/>
  <c r="F256" i="36"/>
  <c r="F257" i="36"/>
  <c r="F258" i="36"/>
  <c r="F259" i="36"/>
  <c r="F260" i="36"/>
  <c r="F261" i="36"/>
  <c r="F262" i="36"/>
  <c r="F263" i="36"/>
  <c r="F264" i="36"/>
  <c r="F265" i="36"/>
  <c r="F266" i="36"/>
  <c r="F267" i="36"/>
  <c r="F268" i="36"/>
  <c r="F269" i="36"/>
  <c r="F270" i="36"/>
  <c r="F271" i="36"/>
  <c r="F272" i="36"/>
  <c r="F273" i="36"/>
  <c r="F274" i="36"/>
  <c r="F275" i="36"/>
  <c r="F276" i="36"/>
  <c r="F277" i="36"/>
  <c r="F278" i="36"/>
  <c r="F279" i="36"/>
  <c r="F280" i="36"/>
  <c r="F281" i="36"/>
  <c r="F282" i="36"/>
  <c r="F283" i="36"/>
  <c r="F284" i="36"/>
  <c r="F285" i="36"/>
  <c r="F286" i="36"/>
  <c r="F287" i="36"/>
  <c r="F288" i="36"/>
  <c r="F289" i="36"/>
  <c r="F290" i="36"/>
  <c r="F291" i="36"/>
  <c r="F292" i="36"/>
  <c r="F293" i="36"/>
  <c r="F294" i="36"/>
  <c r="F295" i="36"/>
  <c r="F296" i="36"/>
  <c r="F297" i="36"/>
  <c r="F298" i="36"/>
  <c r="F299" i="36"/>
  <c r="F300" i="36"/>
  <c r="F301" i="36"/>
  <c r="F302" i="36"/>
  <c r="F303" i="36"/>
  <c r="F304" i="36"/>
  <c r="F305" i="36"/>
  <c r="F306" i="36"/>
  <c r="F307" i="36"/>
  <c r="F308" i="36"/>
  <c r="F309" i="36"/>
  <c r="F310" i="36"/>
  <c r="F311" i="36"/>
  <c r="F312" i="36"/>
  <c r="F313" i="36"/>
  <c r="F314" i="36"/>
  <c r="F315" i="36"/>
  <c r="F316" i="36"/>
  <c r="F317" i="36"/>
  <c r="F318" i="36"/>
  <c r="F319" i="36"/>
  <c r="F320" i="36"/>
  <c r="F321" i="36"/>
  <c r="F322" i="36"/>
  <c r="F323" i="36"/>
  <c r="F324" i="36"/>
  <c r="F325" i="36"/>
  <c r="F326" i="36"/>
  <c r="F327" i="36"/>
  <c r="F328" i="36"/>
  <c r="F329" i="36"/>
  <c r="F330" i="36"/>
  <c r="F331" i="36"/>
  <c r="F332" i="36"/>
  <c r="F333" i="36"/>
  <c r="F334" i="36"/>
  <c r="F335" i="36"/>
  <c r="F336" i="36"/>
  <c r="F337" i="36"/>
  <c r="F338" i="36"/>
  <c r="F339" i="36"/>
  <c r="F340" i="36"/>
  <c r="F341" i="36"/>
  <c r="F342" i="36"/>
  <c r="F343" i="36"/>
  <c r="F344" i="36"/>
  <c r="F345" i="36"/>
  <c r="F346" i="36"/>
  <c r="F347" i="36"/>
  <c r="F348" i="36"/>
  <c r="F349" i="36"/>
  <c r="F350" i="36"/>
  <c r="F351" i="36"/>
  <c r="F352" i="36"/>
  <c r="F353" i="36"/>
  <c r="F354" i="36"/>
  <c r="F355" i="36"/>
  <c r="F356" i="36"/>
  <c r="F357" i="36"/>
  <c r="F358" i="36"/>
  <c r="F359" i="36"/>
  <c r="F360" i="36"/>
  <c r="F361" i="36"/>
  <c r="F362" i="36"/>
  <c r="F363" i="36"/>
  <c r="F364" i="36"/>
  <c r="F365" i="36"/>
  <c r="F366" i="36"/>
  <c r="F367" i="36"/>
  <c r="F368" i="36"/>
  <c r="F369" i="36"/>
  <c r="F370" i="36"/>
  <c r="F371" i="36"/>
  <c r="F372" i="36"/>
  <c r="F373" i="36"/>
  <c r="F374" i="36"/>
  <c r="F375" i="36"/>
  <c r="F376" i="36"/>
  <c r="F377" i="36"/>
  <c r="F378" i="36"/>
  <c r="F379" i="36"/>
  <c r="F380" i="36"/>
  <c r="F381" i="36"/>
  <c r="F382" i="36"/>
  <c r="F383" i="36"/>
  <c r="F384" i="36"/>
  <c r="F385" i="36"/>
  <c r="F386" i="36"/>
  <c r="F387" i="36"/>
  <c r="F388" i="36"/>
  <c r="F389" i="36"/>
  <c r="F390" i="36"/>
  <c r="F391" i="36"/>
  <c r="F392" i="36"/>
  <c r="F393" i="36"/>
  <c r="F394" i="36"/>
  <c r="F395" i="36"/>
  <c r="F396" i="36"/>
  <c r="F397" i="36"/>
  <c r="F398" i="36"/>
  <c r="F399" i="36"/>
  <c r="F400" i="36"/>
  <c r="F401" i="36"/>
  <c r="F402" i="36"/>
  <c r="F403" i="36"/>
  <c r="F404" i="36"/>
  <c r="F405" i="36"/>
  <c r="F406" i="36"/>
  <c r="F407" i="36"/>
  <c r="F408" i="36"/>
  <c r="F409" i="36"/>
  <c r="F410" i="36"/>
  <c r="F411" i="36"/>
  <c r="F412" i="36"/>
  <c r="F413" i="36"/>
  <c r="F414" i="36"/>
  <c r="F415" i="36"/>
  <c r="F416" i="36"/>
  <c r="F417" i="36"/>
  <c r="F418" i="36"/>
  <c r="F419" i="36"/>
  <c r="F420" i="36"/>
  <c r="F421" i="36"/>
  <c r="F422" i="36"/>
  <c r="F423" i="36"/>
  <c r="F424" i="36"/>
  <c r="F425" i="36"/>
  <c r="F426" i="36"/>
  <c r="F427" i="36"/>
  <c r="F428" i="36"/>
  <c r="F429" i="36"/>
  <c r="F430" i="36"/>
  <c r="F431" i="36"/>
  <c r="F432" i="36"/>
  <c r="F433" i="36"/>
  <c r="F434" i="36"/>
  <c r="F435" i="36"/>
  <c r="F436" i="36"/>
  <c r="F437" i="36"/>
  <c r="F438" i="36"/>
  <c r="F439" i="36"/>
  <c r="F440" i="36"/>
  <c r="F441" i="36"/>
  <c r="F442" i="36"/>
  <c r="F443" i="36"/>
  <c r="F444" i="36"/>
  <c r="F445" i="36"/>
  <c r="F446" i="36"/>
  <c r="F447" i="36"/>
  <c r="F448" i="36"/>
  <c r="F449" i="36"/>
  <c r="F450" i="36"/>
  <c r="F451" i="36"/>
  <c r="F452" i="36"/>
  <c r="F453" i="36"/>
  <c r="F454" i="36"/>
  <c r="F455" i="36"/>
  <c r="F456" i="36"/>
  <c r="F457" i="36"/>
  <c r="F458" i="36"/>
  <c r="F459" i="36"/>
  <c r="F460" i="36"/>
  <c r="F461" i="36"/>
  <c r="F462" i="36"/>
  <c r="F463" i="36"/>
  <c r="F464" i="36"/>
  <c r="F465" i="36"/>
  <c r="F466" i="36"/>
  <c r="F467" i="36"/>
  <c r="F468" i="36"/>
  <c r="F469" i="36"/>
  <c r="F470" i="36"/>
  <c r="F471" i="36"/>
  <c r="F472" i="36"/>
  <c r="F473" i="36"/>
  <c r="F474" i="36"/>
  <c r="F475" i="36"/>
  <c r="F476" i="36"/>
  <c r="F477" i="36"/>
  <c r="F478" i="36"/>
  <c r="F479" i="36"/>
  <c r="F480" i="36"/>
  <c r="F481" i="36"/>
  <c r="F482" i="36"/>
  <c r="F483" i="36"/>
  <c r="F484" i="36"/>
  <c r="F485" i="36"/>
  <c r="F486" i="36"/>
  <c r="F487" i="36"/>
  <c r="F488" i="36"/>
  <c r="F489" i="36"/>
  <c r="F490" i="36"/>
  <c r="F491" i="36"/>
  <c r="F492" i="36"/>
  <c r="F493" i="36"/>
  <c r="F494" i="36"/>
  <c r="F495" i="36"/>
  <c r="F496" i="36"/>
  <c r="F497" i="36"/>
  <c r="F498" i="36"/>
  <c r="F499" i="36"/>
  <c r="F500" i="36"/>
  <c r="F501" i="36"/>
  <c r="F502" i="36"/>
  <c r="F503" i="36"/>
  <c r="F504" i="36"/>
  <c r="F505" i="36"/>
  <c r="F506" i="36"/>
  <c r="F507" i="36"/>
  <c r="F508" i="36"/>
  <c r="F509" i="36"/>
  <c r="F510" i="36"/>
  <c r="F511" i="36"/>
  <c r="F512" i="36"/>
  <c r="F513" i="36"/>
  <c r="F514" i="36"/>
  <c r="F515" i="36"/>
  <c r="F516" i="36"/>
  <c r="F517" i="36"/>
  <c r="F518" i="36"/>
  <c r="F519" i="36"/>
  <c r="F520" i="36"/>
  <c r="F521" i="36"/>
  <c r="F522" i="36"/>
  <c r="F523" i="36"/>
  <c r="F524" i="36"/>
  <c r="F525" i="36"/>
  <c r="F526" i="36"/>
  <c r="F527" i="36"/>
  <c r="F528" i="36"/>
  <c r="F529" i="36"/>
  <c r="F530" i="36"/>
  <c r="F531" i="36"/>
  <c r="F532" i="36"/>
  <c r="F533" i="36"/>
  <c r="F534" i="36"/>
  <c r="F535" i="36"/>
  <c r="F536" i="36"/>
  <c r="F537" i="36"/>
  <c r="F538" i="36"/>
  <c r="F539" i="36"/>
  <c r="F540" i="36"/>
  <c r="F541" i="36"/>
  <c r="F542" i="36"/>
  <c r="F543" i="36"/>
  <c r="F544" i="36"/>
  <c r="F545" i="36"/>
  <c r="F546" i="36"/>
  <c r="F547" i="36"/>
  <c r="F548" i="36"/>
  <c r="F549" i="36"/>
  <c r="F550" i="36"/>
  <c r="F551" i="36"/>
  <c r="F552" i="36"/>
  <c r="F553" i="36"/>
  <c r="F554" i="36"/>
  <c r="F555" i="36"/>
  <c r="F556" i="36"/>
  <c r="F557" i="36"/>
  <c r="F558" i="36"/>
  <c r="F559" i="36"/>
  <c r="F560" i="36"/>
  <c r="F561" i="36"/>
  <c r="F562" i="36"/>
  <c r="F563" i="36"/>
  <c r="F564" i="36"/>
  <c r="F565" i="36"/>
  <c r="F566" i="36"/>
  <c r="F567" i="36"/>
  <c r="F568" i="36"/>
  <c r="F569" i="36"/>
  <c r="F570" i="36"/>
  <c r="F571" i="36"/>
  <c r="F572" i="36"/>
  <c r="F573" i="36"/>
  <c r="F574" i="36"/>
  <c r="F575" i="36"/>
  <c r="F576" i="36"/>
  <c r="F577" i="36"/>
  <c r="F578" i="36"/>
  <c r="F579" i="36"/>
  <c r="F580" i="36"/>
  <c r="F581" i="36"/>
  <c r="F582" i="36"/>
  <c r="F583" i="36"/>
  <c r="F584" i="36"/>
  <c r="F585" i="36"/>
  <c r="F586" i="36"/>
  <c r="F587" i="36"/>
  <c r="F588" i="36"/>
  <c r="F589" i="36"/>
  <c r="F590" i="36"/>
  <c r="F591" i="36"/>
  <c r="F592" i="36"/>
  <c r="F593" i="36"/>
  <c r="F594" i="36"/>
  <c r="F595" i="36"/>
  <c r="F596" i="36"/>
  <c r="F597" i="36"/>
  <c r="F598" i="36"/>
  <c r="F599" i="36"/>
  <c r="F600" i="36"/>
  <c r="F601" i="36"/>
  <c r="F602" i="36"/>
  <c r="F603" i="36"/>
  <c r="F604" i="36"/>
  <c r="F605" i="36"/>
  <c r="F606" i="36"/>
  <c r="F607" i="36"/>
  <c r="F608" i="36"/>
  <c r="F609" i="36"/>
  <c r="F610" i="36"/>
  <c r="F611" i="36"/>
  <c r="F612" i="36"/>
  <c r="F613" i="36"/>
  <c r="F614" i="36"/>
  <c r="F615" i="36"/>
  <c r="F616" i="36"/>
  <c r="F617" i="36"/>
  <c r="F618" i="36"/>
  <c r="F619" i="36"/>
  <c r="F620" i="36"/>
  <c r="F621" i="36"/>
  <c r="F622" i="36"/>
  <c r="F623" i="36"/>
  <c r="F624" i="36"/>
  <c r="F625" i="36"/>
  <c r="F626" i="36"/>
  <c r="F627" i="36"/>
  <c r="F628" i="36"/>
  <c r="F629" i="36"/>
  <c r="F630" i="36"/>
  <c r="F631" i="36"/>
  <c r="F632" i="36"/>
  <c r="F633" i="36"/>
  <c r="F634" i="36"/>
  <c r="F635" i="36"/>
  <c r="F636" i="36"/>
  <c r="F637" i="36"/>
  <c r="F638" i="36"/>
  <c r="F639" i="36"/>
  <c r="F640" i="36"/>
  <c r="F641" i="36"/>
  <c r="F642" i="36"/>
  <c r="F643" i="36"/>
  <c r="F644" i="36"/>
  <c r="F645" i="36"/>
  <c r="F646" i="36"/>
  <c r="F647" i="36"/>
  <c r="F648" i="36"/>
  <c r="F649" i="36"/>
  <c r="F650" i="36"/>
  <c r="F651" i="36"/>
  <c r="F652" i="36"/>
  <c r="F653" i="36"/>
  <c r="F654" i="36"/>
  <c r="F655" i="36"/>
  <c r="F656" i="36"/>
  <c r="F657" i="36"/>
  <c r="F658" i="36"/>
  <c r="F659" i="36"/>
  <c r="F660" i="36"/>
  <c r="F661" i="36"/>
  <c r="F662" i="36"/>
  <c r="F663" i="36"/>
  <c r="F664" i="36"/>
  <c r="F665" i="36"/>
  <c r="F666" i="36"/>
  <c r="F667" i="36"/>
  <c r="F668" i="36"/>
  <c r="F669" i="36"/>
  <c r="F670" i="36"/>
  <c r="F671" i="36"/>
  <c r="F672" i="36"/>
  <c r="F673" i="36"/>
  <c r="F674" i="36"/>
  <c r="F675" i="36"/>
  <c r="F676" i="36"/>
  <c r="F677" i="36"/>
  <c r="F678" i="36"/>
  <c r="F679" i="36"/>
  <c r="F680" i="36"/>
  <c r="F681" i="36"/>
  <c r="F682" i="36"/>
  <c r="F683" i="36"/>
  <c r="F684" i="36"/>
  <c r="F685" i="36"/>
  <c r="F686" i="36"/>
  <c r="F687" i="36"/>
  <c r="F688" i="36"/>
  <c r="F689" i="36"/>
  <c r="F690" i="36"/>
  <c r="F691" i="36"/>
  <c r="F692" i="36"/>
  <c r="F693" i="36"/>
  <c r="F694" i="36"/>
  <c r="F695" i="36"/>
  <c r="F696" i="36"/>
  <c r="F697" i="36"/>
  <c r="F698" i="36"/>
  <c r="F699" i="36"/>
  <c r="F700" i="36"/>
  <c r="F701" i="36"/>
  <c r="F702" i="36"/>
  <c r="F703" i="36"/>
  <c r="F704" i="36"/>
  <c r="F705" i="36"/>
  <c r="F706" i="36"/>
  <c r="F707" i="36"/>
  <c r="F708" i="36"/>
  <c r="F709" i="36"/>
  <c r="F710" i="36"/>
  <c r="F711" i="36"/>
  <c r="F712" i="36"/>
  <c r="F713" i="36"/>
  <c r="F714" i="36"/>
  <c r="F715" i="36"/>
  <c r="F716" i="36"/>
  <c r="F717" i="36"/>
  <c r="F718" i="36"/>
  <c r="F719" i="36"/>
  <c r="F720" i="36"/>
  <c r="F721" i="36"/>
  <c r="F722" i="36"/>
  <c r="F723" i="36"/>
  <c r="F724" i="36"/>
  <c r="F725" i="36"/>
  <c r="F726" i="36"/>
  <c r="F727" i="36"/>
  <c r="F728" i="36"/>
  <c r="F729" i="36"/>
  <c r="F730" i="36"/>
  <c r="F731" i="36"/>
  <c r="F732" i="36"/>
  <c r="F733" i="36"/>
  <c r="F734" i="36"/>
  <c r="F735" i="36"/>
  <c r="F736" i="36"/>
  <c r="F737" i="36"/>
  <c r="F738" i="36"/>
  <c r="F739" i="36"/>
  <c r="F740" i="36"/>
  <c r="F741" i="36"/>
  <c r="F742" i="36"/>
  <c r="F743" i="36"/>
  <c r="F744" i="36"/>
  <c r="F745" i="36"/>
  <c r="F746" i="36"/>
  <c r="F747" i="36"/>
  <c r="F748" i="36"/>
  <c r="F749" i="36"/>
  <c r="F750" i="36"/>
  <c r="F751" i="36"/>
  <c r="F752" i="36"/>
  <c r="F753" i="36"/>
  <c r="F754" i="36"/>
  <c r="F755" i="36"/>
  <c r="F756" i="36"/>
  <c r="F757" i="36"/>
  <c r="F758" i="36"/>
  <c r="F759" i="36"/>
  <c r="F760" i="36"/>
  <c r="F761" i="36"/>
  <c r="F762" i="36"/>
  <c r="F763" i="36"/>
  <c r="F764" i="36"/>
  <c r="F765" i="36"/>
  <c r="F766" i="36"/>
  <c r="F767" i="36"/>
  <c r="F768" i="36"/>
  <c r="F769" i="36"/>
  <c r="F770" i="36"/>
  <c r="F771" i="36"/>
  <c r="F772" i="36"/>
  <c r="F773" i="36"/>
  <c r="F774" i="36"/>
  <c r="F775" i="36"/>
  <c r="F776" i="36"/>
  <c r="F777" i="36"/>
  <c r="F778" i="36"/>
  <c r="F779" i="36"/>
  <c r="F780" i="36"/>
  <c r="F781" i="36"/>
  <c r="F782" i="36"/>
  <c r="F783" i="36"/>
  <c r="F784" i="36"/>
  <c r="F785" i="36"/>
  <c r="F786" i="36"/>
  <c r="F787" i="36"/>
  <c r="F788" i="36"/>
  <c r="F789" i="36"/>
  <c r="F790" i="36"/>
  <c r="F791" i="36"/>
  <c r="F792" i="36"/>
  <c r="F793" i="36"/>
  <c r="F794" i="36"/>
  <c r="F795" i="36"/>
  <c r="F796" i="36"/>
  <c r="F797" i="36"/>
  <c r="F798" i="36"/>
  <c r="F799" i="36"/>
  <c r="F800" i="36"/>
  <c r="F801" i="36"/>
  <c r="F802" i="36"/>
  <c r="F803" i="36"/>
  <c r="F804" i="36"/>
  <c r="F805" i="36"/>
  <c r="F806" i="36"/>
  <c r="F807" i="36"/>
  <c r="F808" i="36"/>
  <c r="F809" i="36"/>
  <c r="F810" i="36"/>
  <c r="F811" i="36"/>
  <c r="F812" i="36"/>
  <c r="F813" i="36"/>
  <c r="F814" i="36"/>
  <c r="F815" i="36"/>
  <c r="F816" i="36"/>
  <c r="F817" i="36"/>
  <c r="F818" i="36"/>
  <c r="F819" i="36"/>
  <c r="F820" i="36"/>
  <c r="F821" i="36"/>
  <c r="F822" i="36"/>
  <c r="F823" i="36"/>
  <c r="F824" i="36"/>
  <c r="F825" i="36"/>
  <c r="F826" i="36"/>
  <c r="F827" i="36"/>
  <c r="F828" i="36"/>
  <c r="F829" i="36"/>
  <c r="F830" i="36"/>
  <c r="F831" i="36"/>
  <c r="F832" i="36"/>
  <c r="F833" i="36"/>
  <c r="F834" i="36"/>
  <c r="F835" i="36"/>
  <c r="F836" i="36"/>
  <c r="F837" i="36"/>
  <c r="F838" i="36"/>
  <c r="F839" i="36"/>
  <c r="F840" i="36"/>
  <c r="F841" i="36"/>
  <c r="F4" i="36"/>
  <c r="E842" i="36"/>
  <c r="N3" i="36" l="1"/>
  <c r="C26" i="36" s="1"/>
  <c r="D26" i="36" l="1"/>
  <c r="C826" i="36"/>
  <c r="C794" i="36"/>
  <c r="C762" i="36"/>
  <c r="C730" i="36"/>
  <c r="C698" i="36"/>
  <c r="C666" i="36"/>
  <c r="C634" i="36"/>
  <c r="C602" i="36"/>
  <c r="C570" i="36"/>
  <c r="C538" i="36"/>
  <c r="C506" i="36"/>
  <c r="C474" i="36"/>
  <c r="C442" i="36"/>
  <c r="C410" i="36"/>
  <c r="C378" i="36"/>
  <c r="C346" i="36"/>
  <c r="C314" i="36"/>
  <c r="C282" i="36"/>
  <c r="C250" i="36"/>
  <c r="C218" i="36"/>
  <c r="C179" i="36"/>
  <c r="C122" i="36"/>
  <c r="C58" i="36"/>
  <c r="C818" i="36"/>
  <c r="C754" i="36"/>
  <c r="C690" i="36"/>
  <c r="C626" i="36"/>
  <c r="C562" i="36"/>
  <c r="C498" i="36"/>
  <c r="C434" i="36"/>
  <c r="C370" i="36"/>
  <c r="C306" i="36"/>
  <c r="C274" i="36"/>
  <c r="C242" i="36"/>
  <c r="C169" i="36"/>
  <c r="C106" i="36"/>
  <c r="C42" i="36"/>
  <c r="C842" i="36"/>
  <c r="C810" i="36"/>
  <c r="C778" i="36"/>
  <c r="C746" i="36"/>
  <c r="C714" i="36"/>
  <c r="C682" i="36"/>
  <c r="C650" i="36"/>
  <c r="C618" i="36"/>
  <c r="C586" i="36"/>
  <c r="C554" i="36"/>
  <c r="C522" i="36"/>
  <c r="C490" i="36"/>
  <c r="C458" i="36"/>
  <c r="C426" i="36"/>
  <c r="C394" i="36"/>
  <c r="C362" i="36"/>
  <c r="C330" i="36"/>
  <c r="C298" i="36"/>
  <c r="C266" i="36"/>
  <c r="C234" i="36"/>
  <c r="C201" i="36"/>
  <c r="C154" i="36"/>
  <c r="C90" i="36"/>
  <c r="C8" i="36"/>
  <c r="C12" i="36"/>
  <c r="C16" i="36"/>
  <c r="C20" i="36"/>
  <c r="C24" i="36"/>
  <c r="C28" i="36"/>
  <c r="C32" i="36"/>
  <c r="C36" i="36"/>
  <c r="C40" i="36"/>
  <c r="C44" i="36"/>
  <c r="C48" i="36"/>
  <c r="C52" i="36"/>
  <c r="C56" i="36"/>
  <c r="C60" i="36"/>
  <c r="C64" i="36"/>
  <c r="C68" i="36"/>
  <c r="C72" i="36"/>
  <c r="C76" i="36"/>
  <c r="C80" i="36"/>
  <c r="C84" i="36"/>
  <c r="C88" i="36"/>
  <c r="C92" i="36"/>
  <c r="C96" i="36"/>
  <c r="C100" i="36"/>
  <c r="C104" i="36"/>
  <c r="C108" i="36"/>
  <c r="C112" i="36"/>
  <c r="C116" i="36"/>
  <c r="C120" i="36"/>
  <c r="C124" i="36"/>
  <c r="C128" i="36"/>
  <c r="C132" i="36"/>
  <c r="C136" i="36"/>
  <c r="C140" i="36"/>
  <c r="C144" i="36"/>
  <c r="C148" i="36"/>
  <c r="C152" i="36"/>
  <c r="C156" i="36"/>
  <c r="C160" i="36"/>
  <c r="C164" i="36"/>
  <c r="C168" i="36"/>
  <c r="C172" i="36"/>
  <c r="C176" i="36"/>
  <c r="C180" i="36"/>
  <c r="C184" i="36"/>
  <c r="C188" i="36"/>
  <c r="C192" i="36"/>
  <c r="C196" i="36"/>
  <c r="C200" i="36"/>
  <c r="C204" i="36"/>
  <c r="C5" i="36"/>
  <c r="C9" i="36"/>
  <c r="C13" i="36"/>
  <c r="C17" i="36"/>
  <c r="C21" i="36"/>
  <c r="C25" i="36"/>
  <c r="C29" i="36"/>
  <c r="C33" i="36"/>
  <c r="C37" i="36"/>
  <c r="C41" i="36"/>
  <c r="C45" i="36"/>
  <c r="C49" i="36"/>
  <c r="C53" i="36"/>
  <c r="C57" i="36"/>
  <c r="C61" i="36"/>
  <c r="C65" i="36"/>
  <c r="C69" i="36"/>
  <c r="C73" i="36"/>
  <c r="C77" i="36"/>
  <c r="C81" i="36"/>
  <c r="C85" i="36"/>
  <c r="C89" i="36"/>
  <c r="C93" i="36"/>
  <c r="C97" i="36"/>
  <c r="C101" i="36"/>
  <c r="C105" i="36"/>
  <c r="C109" i="36"/>
  <c r="C113" i="36"/>
  <c r="C117" i="36"/>
  <c r="C121" i="36"/>
  <c r="C125" i="36"/>
  <c r="C129" i="36"/>
  <c r="C133" i="36"/>
  <c r="C137" i="36"/>
  <c r="C141" i="36"/>
  <c r="C145" i="36"/>
  <c r="C149" i="36"/>
  <c r="C153" i="36"/>
  <c r="C157" i="36"/>
  <c r="C161" i="36"/>
  <c r="C165" i="36"/>
  <c r="C6" i="36"/>
  <c r="C14" i="36"/>
  <c r="C22" i="36"/>
  <c r="C30" i="36"/>
  <c r="C38" i="36"/>
  <c r="C46" i="36"/>
  <c r="C54" i="36"/>
  <c r="C62" i="36"/>
  <c r="C70" i="36"/>
  <c r="C78" i="36"/>
  <c r="C86" i="36"/>
  <c r="C94" i="36"/>
  <c r="C102" i="36"/>
  <c r="C110" i="36"/>
  <c r="C118" i="36"/>
  <c r="C126" i="36"/>
  <c r="C134" i="36"/>
  <c r="C142" i="36"/>
  <c r="C150" i="36"/>
  <c r="C158" i="36"/>
  <c r="C166" i="36"/>
  <c r="C171" i="36"/>
  <c r="C177" i="36"/>
  <c r="C182" i="36"/>
  <c r="C187" i="36"/>
  <c r="C193" i="36"/>
  <c r="C198" i="36"/>
  <c r="C203" i="36"/>
  <c r="C208" i="36"/>
  <c r="C212" i="36"/>
  <c r="C216" i="36"/>
  <c r="C220" i="36"/>
  <c r="C224" i="36"/>
  <c r="C228" i="36"/>
  <c r="C232" i="36"/>
  <c r="C236" i="36"/>
  <c r="C240" i="36"/>
  <c r="C244" i="36"/>
  <c r="C248" i="36"/>
  <c r="C252" i="36"/>
  <c r="C256" i="36"/>
  <c r="C260" i="36"/>
  <c r="C264" i="36"/>
  <c r="C268" i="36"/>
  <c r="C272" i="36"/>
  <c r="C276" i="36"/>
  <c r="C280" i="36"/>
  <c r="C284" i="36"/>
  <c r="C288" i="36"/>
  <c r="C292" i="36"/>
  <c r="C296" i="36"/>
  <c r="C300" i="36"/>
  <c r="C304" i="36"/>
  <c r="C308" i="36"/>
  <c r="C312" i="36"/>
  <c r="C316" i="36"/>
  <c r="C320" i="36"/>
  <c r="C324" i="36"/>
  <c r="C328" i="36"/>
  <c r="C332" i="36"/>
  <c r="C336" i="36"/>
  <c r="C340" i="36"/>
  <c r="C344" i="36"/>
  <c r="C348" i="36"/>
  <c r="C352" i="36"/>
  <c r="C356" i="36"/>
  <c r="C360" i="36"/>
  <c r="C364" i="36"/>
  <c r="C368" i="36"/>
  <c r="C372" i="36"/>
  <c r="C376" i="36"/>
  <c r="C380" i="36"/>
  <c r="C384" i="36"/>
  <c r="C388" i="36"/>
  <c r="C392" i="36"/>
  <c r="C396" i="36"/>
  <c r="C400" i="36"/>
  <c r="C404" i="36"/>
  <c r="C408" i="36"/>
  <c r="C412" i="36"/>
  <c r="C416" i="36"/>
  <c r="C420" i="36"/>
  <c r="C424" i="36"/>
  <c r="C428" i="36"/>
  <c r="C432" i="36"/>
  <c r="C436" i="36"/>
  <c r="C440" i="36"/>
  <c r="C444" i="36"/>
  <c r="C448" i="36"/>
  <c r="C452" i="36"/>
  <c r="C456" i="36"/>
  <c r="C460" i="36"/>
  <c r="C464" i="36"/>
  <c r="C468" i="36"/>
  <c r="C472" i="36"/>
  <c r="C476" i="36"/>
  <c r="C480" i="36"/>
  <c r="C484" i="36"/>
  <c r="C488" i="36"/>
  <c r="C492" i="36"/>
  <c r="C496" i="36"/>
  <c r="C500" i="36"/>
  <c r="C504" i="36"/>
  <c r="C508" i="36"/>
  <c r="C512" i="36"/>
  <c r="C516" i="36"/>
  <c r="C520" i="36"/>
  <c r="C524" i="36"/>
  <c r="C528" i="36"/>
  <c r="C532" i="36"/>
  <c r="C536" i="36"/>
  <c r="C540" i="36"/>
  <c r="C544" i="36"/>
  <c r="C548" i="36"/>
  <c r="C552" i="36"/>
  <c r="C556" i="36"/>
  <c r="C560" i="36"/>
  <c r="C564" i="36"/>
  <c r="C568" i="36"/>
  <c r="C572" i="36"/>
  <c r="C576" i="36"/>
  <c r="C580" i="36"/>
  <c r="C584" i="36"/>
  <c r="C588" i="36"/>
  <c r="C592" i="36"/>
  <c r="C596" i="36"/>
  <c r="C600" i="36"/>
  <c r="C604" i="36"/>
  <c r="C608" i="36"/>
  <c r="C612" i="36"/>
  <c r="C616" i="36"/>
  <c r="C620" i="36"/>
  <c r="C624" i="36"/>
  <c r="C628" i="36"/>
  <c r="C632" i="36"/>
  <c r="C636" i="36"/>
  <c r="C640" i="36"/>
  <c r="C644" i="36"/>
  <c r="C648" i="36"/>
  <c r="C652" i="36"/>
  <c r="C656" i="36"/>
  <c r="C660" i="36"/>
  <c r="C664" i="36"/>
  <c r="C668" i="36"/>
  <c r="C672" i="36"/>
  <c r="C676" i="36"/>
  <c r="C680" i="36"/>
  <c r="C684" i="36"/>
  <c r="C688" i="36"/>
  <c r="C692" i="36"/>
  <c r="C696" i="36"/>
  <c r="C700" i="36"/>
  <c r="C704" i="36"/>
  <c r="C708" i="36"/>
  <c r="C712" i="36"/>
  <c r="C716" i="36"/>
  <c r="C720" i="36"/>
  <c r="C724" i="36"/>
  <c r="C728" i="36"/>
  <c r="C732" i="36"/>
  <c r="C736" i="36"/>
  <c r="C740" i="36"/>
  <c r="C744" i="36"/>
  <c r="C748" i="36"/>
  <c r="C752" i="36"/>
  <c r="C756" i="36"/>
  <c r="C760" i="36"/>
  <c r="C764" i="36"/>
  <c r="C768" i="36"/>
  <c r="C772" i="36"/>
  <c r="C776" i="36"/>
  <c r="C780" i="36"/>
  <c r="C784" i="36"/>
  <c r="C788" i="36"/>
  <c r="C792" i="36"/>
  <c r="C796" i="36"/>
  <c r="C800" i="36"/>
  <c r="C804" i="36"/>
  <c r="C808" i="36"/>
  <c r="C812" i="36"/>
  <c r="C816" i="36"/>
  <c r="C820" i="36"/>
  <c r="C824" i="36"/>
  <c r="C828" i="36"/>
  <c r="C832" i="36"/>
  <c r="C836" i="36"/>
  <c r="C840" i="36"/>
  <c r="C7" i="36"/>
  <c r="C15" i="36"/>
  <c r="C23" i="36"/>
  <c r="C31" i="36"/>
  <c r="C39" i="36"/>
  <c r="C47" i="36"/>
  <c r="C55" i="36"/>
  <c r="C63" i="36"/>
  <c r="C71" i="36"/>
  <c r="C79" i="36"/>
  <c r="C87" i="36"/>
  <c r="C95" i="36"/>
  <c r="C103" i="36"/>
  <c r="C111" i="36"/>
  <c r="C119" i="36"/>
  <c r="C127" i="36"/>
  <c r="C135" i="36"/>
  <c r="C143" i="36"/>
  <c r="C151" i="36"/>
  <c r="C159" i="36"/>
  <c r="C167" i="36"/>
  <c r="C173" i="36"/>
  <c r="C178" i="36"/>
  <c r="C183" i="36"/>
  <c r="C189" i="36"/>
  <c r="C194" i="36"/>
  <c r="C199" i="36"/>
  <c r="C205" i="36"/>
  <c r="C209" i="36"/>
  <c r="C213" i="36"/>
  <c r="C217" i="36"/>
  <c r="C221" i="36"/>
  <c r="C225" i="36"/>
  <c r="C229" i="36"/>
  <c r="C233" i="36"/>
  <c r="C237" i="36"/>
  <c r="C241" i="36"/>
  <c r="C245" i="36"/>
  <c r="C249" i="36"/>
  <c r="C253" i="36"/>
  <c r="C257" i="36"/>
  <c r="C261" i="36"/>
  <c r="C265" i="36"/>
  <c r="C269" i="36"/>
  <c r="C273" i="36"/>
  <c r="C277" i="36"/>
  <c r="C281" i="36"/>
  <c r="C285" i="36"/>
  <c r="C289" i="36"/>
  <c r="C293" i="36"/>
  <c r="C297" i="36"/>
  <c r="C301" i="36"/>
  <c r="C305" i="36"/>
  <c r="C309" i="36"/>
  <c r="C313" i="36"/>
  <c r="C317" i="36"/>
  <c r="C321" i="36"/>
  <c r="C325" i="36"/>
  <c r="C329" i="36"/>
  <c r="C333" i="36"/>
  <c r="C337" i="36"/>
  <c r="C341" i="36"/>
  <c r="C345" i="36"/>
  <c r="C349" i="36"/>
  <c r="C353" i="36"/>
  <c r="C357" i="36"/>
  <c r="C361" i="36"/>
  <c r="C365" i="36"/>
  <c r="C369" i="36"/>
  <c r="C373" i="36"/>
  <c r="C377" i="36"/>
  <c r="C381" i="36"/>
  <c r="C385" i="36"/>
  <c r="C389" i="36"/>
  <c r="C393" i="36"/>
  <c r="C397" i="36"/>
  <c r="C401" i="36"/>
  <c r="C405" i="36"/>
  <c r="C409" i="36"/>
  <c r="C413" i="36"/>
  <c r="C417" i="36"/>
  <c r="C421" i="36"/>
  <c r="C425" i="36"/>
  <c r="C429" i="36"/>
  <c r="C433" i="36"/>
  <c r="C437" i="36"/>
  <c r="C441" i="36"/>
  <c r="C445" i="36"/>
  <c r="C449" i="36"/>
  <c r="C453" i="36"/>
  <c r="C457" i="36"/>
  <c r="C461" i="36"/>
  <c r="C465" i="36"/>
  <c r="C469" i="36"/>
  <c r="C473" i="36"/>
  <c r="C477" i="36"/>
  <c r="C481" i="36"/>
  <c r="C485" i="36"/>
  <c r="C489" i="36"/>
  <c r="C493" i="36"/>
  <c r="C497" i="36"/>
  <c r="C501" i="36"/>
  <c r="C505" i="36"/>
  <c r="C509" i="36"/>
  <c r="C513" i="36"/>
  <c r="C517" i="36"/>
  <c r="C521" i="36"/>
  <c r="C525" i="36"/>
  <c r="C529" i="36"/>
  <c r="C533" i="36"/>
  <c r="C537" i="36"/>
  <c r="C541" i="36"/>
  <c r="C545" i="36"/>
  <c r="C549" i="36"/>
  <c r="C553" i="36"/>
  <c r="C557" i="36"/>
  <c r="C561" i="36"/>
  <c r="C565" i="36"/>
  <c r="C569" i="36"/>
  <c r="C573" i="36"/>
  <c r="C577" i="36"/>
  <c r="C581" i="36"/>
  <c r="C585" i="36"/>
  <c r="C589" i="36"/>
  <c r="C593" i="36"/>
  <c r="C597" i="36"/>
  <c r="C601" i="36"/>
  <c r="C605" i="36"/>
  <c r="C609" i="36"/>
  <c r="C613" i="36"/>
  <c r="C617" i="36"/>
  <c r="C621" i="36"/>
  <c r="C625" i="36"/>
  <c r="C629" i="36"/>
  <c r="C633" i="36"/>
  <c r="C637" i="36"/>
  <c r="C641" i="36"/>
  <c r="C645" i="36"/>
  <c r="C649" i="36"/>
  <c r="C653" i="36"/>
  <c r="C657" i="36"/>
  <c r="C661" i="36"/>
  <c r="C665" i="36"/>
  <c r="C669" i="36"/>
  <c r="C673" i="36"/>
  <c r="C677" i="36"/>
  <c r="C681" i="36"/>
  <c r="C685" i="36"/>
  <c r="C689" i="36"/>
  <c r="C693" i="36"/>
  <c r="C697" i="36"/>
  <c r="C701" i="36"/>
  <c r="C705" i="36"/>
  <c r="C709" i="36"/>
  <c r="C713" i="36"/>
  <c r="C717" i="36"/>
  <c r="C721" i="36"/>
  <c r="C725" i="36"/>
  <c r="C729" i="36"/>
  <c r="C733" i="36"/>
  <c r="C737" i="36"/>
  <c r="C741" i="36"/>
  <c r="C745" i="36"/>
  <c r="C749" i="36"/>
  <c r="C753" i="36"/>
  <c r="C757" i="36"/>
  <c r="C761" i="36"/>
  <c r="C765" i="36"/>
  <c r="C769" i="36"/>
  <c r="C773" i="36"/>
  <c r="C777" i="36"/>
  <c r="C781" i="36"/>
  <c r="C785" i="36"/>
  <c r="C789" i="36"/>
  <c r="C793" i="36"/>
  <c r="C797" i="36"/>
  <c r="C801" i="36"/>
  <c r="C805" i="36"/>
  <c r="C809" i="36"/>
  <c r="C813" i="36"/>
  <c r="C817" i="36"/>
  <c r="C821" i="36"/>
  <c r="C825" i="36"/>
  <c r="C829" i="36"/>
  <c r="C833" i="36"/>
  <c r="C837" i="36"/>
  <c r="C841" i="36"/>
  <c r="C11" i="36"/>
  <c r="C27" i="36"/>
  <c r="C43" i="36"/>
  <c r="C59" i="36"/>
  <c r="C75" i="36"/>
  <c r="C91" i="36"/>
  <c r="C107" i="36"/>
  <c r="C123" i="36"/>
  <c r="C139" i="36"/>
  <c r="C155" i="36"/>
  <c r="C170" i="36"/>
  <c r="C181" i="36"/>
  <c r="C191" i="36"/>
  <c r="C202" i="36"/>
  <c r="C211" i="36"/>
  <c r="C219" i="36"/>
  <c r="C227" i="36"/>
  <c r="C235" i="36"/>
  <c r="C243" i="36"/>
  <c r="C251" i="36"/>
  <c r="C259" i="36"/>
  <c r="C267" i="36"/>
  <c r="C275" i="36"/>
  <c r="C283" i="36"/>
  <c r="C291" i="36"/>
  <c r="C299" i="36"/>
  <c r="C307" i="36"/>
  <c r="C315" i="36"/>
  <c r="C323" i="36"/>
  <c r="C331" i="36"/>
  <c r="C339" i="36"/>
  <c r="C347" i="36"/>
  <c r="C355" i="36"/>
  <c r="C363" i="36"/>
  <c r="C371" i="36"/>
  <c r="C379" i="36"/>
  <c r="C387" i="36"/>
  <c r="C395" i="36"/>
  <c r="C403" i="36"/>
  <c r="C411" i="36"/>
  <c r="C419" i="36"/>
  <c r="C427" i="36"/>
  <c r="C435" i="36"/>
  <c r="C443" i="36"/>
  <c r="C451" i="36"/>
  <c r="C459" i="36"/>
  <c r="C467" i="36"/>
  <c r="C475" i="36"/>
  <c r="C483" i="36"/>
  <c r="C491" i="36"/>
  <c r="C499" i="36"/>
  <c r="C507" i="36"/>
  <c r="C515" i="36"/>
  <c r="C523" i="36"/>
  <c r="C531" i="36"/>
  <c r="C539" i="36"/>
  <c r="C547" i="36"/>
  <c r="C555" i="36"/>
  <c r="C563" i="36"/>
  <c r="C571" i="36"/>
  <c r="C579" i="36"/>
  <c r="C587" i="36"/>
  <c r="C595" i="36"/>
  <c r="C603" i="36"/>
  <c r="C611" i="36"/>
  <c r="C619" i="36"/>
  <c r="C627" i="36"/>
  <c r="C635" i="36"/>
  <c r="C643" i="36"/>
  <c r="C651" i="36"/>
  <c r="C659" i="36"/>
  <c r="C667" i="36"/>
  <c r="C675" i="36"/>
  <c r="C683" i="36"/>
  <c r="C691" i="36"/>
  <c r="C699" i="36"/>
  <c r="C707" i="36"/>
  <c r="C715" i="36"/>
  <c r="C723" i="36"/>
  <c r="C731" i="36"/>
  <c r="C739" i="36"/>
  <c r="C747" i="36"/>
  <c r="C755" i="36"/>
  <c r="C763" i="36"/>
  <c r="C771" i="36"/>
  <c r="C779" i="36"/>
  <c r="C787" i="36"/>
  <c r="C795" i="36"/>
  <c r="C803" i="36"/>
  <c r="C811" i="36"/>
  <c r="C819" i="36"/>
  <c r="C827" i="36"/>
  <c r="C835" i="36"/>
  <c r="C4" i="36"/>
  <c r="C18" i="36"/>
  <c r="C34" i="36"/>
  <c r="C50" i="36"/>
  <c r="C66" i="36"/>
  <c r="C82" i="36"/>
  <c r="C98" i="36"/>
  <c r="C114" i="36"/>
  <c r="C130" i="36"/>
  <c r="C146" i="36"/>
  <c r="C162" i="36"/>
  <c r="C174" i="36"/>
  <c r="C185" i="36"/>
  <c r="C195" i="36"/>
  <c r="C206" i="36"/>
  <c r="C214" i="36"/>
  <c r="C222" i="36"/>
  <c r="C230" i="36"/>
  <c r="C238" i="36"/>
  <c r="C246" i="36"/>
  <c r="C254" i="36"/>
  <c r="C262" i="36"/>
  <c r="C270" i="36"/>
  <c r="C278" i="36"/>
  <c r="C286" i="36"/>
  <c r="C294" i="36"/>
  <c r="C302" i="36"/>
  <c r="C310" i="36"/>
  <c r="C318" i="36"/>
  <c r="C326" i="36"/>
  <c r="C334" i="36"/>
  <c r="C342" i="36"/>
  <c r="C350" i="36"/>
  <c r="C358" i="36"/>
  <c r="C366" i="36"/>
  <c r="C374" i="36"/>
  <c r="C382" i="36"/>
  <c r="C390" i="36"/>
  <c r="C398" i="36"/>
  <c r="C406" i="36"/>
  <c r="C414" i="36"/>
  <c r="C422" i="36"/>
  <c r="C430" i="36"/>
  <c r="C438" i="36"/>
  <c r="C446" i="36"/>
  <c r="C454" i="36"/>
  <c r="C462" i="36"/>
  <c r="C470" i="36"/>
  <c r="C478" i="36"/>
  <c r="C486" i="36"/>
  <c r="C494" i="36"/>
  <c r="C502" i="36"/>
  <c r="C510" i="36"/>
  <c r="C518" i="36"/>
  <c r="C526" i="36"/>
  <c r="C534" i="36"/>
  <c r="C542" i="36"/>
  <c r="C550" i="36"/>
  <c r="C558" i="36"/>
  <c r="C566" i="36"/>
  <c r="C574" i="36"/>
  <c r="C582" i="36"/>
  <c r="C590" i="36"/>
  <c r="C598" i="36"/>
  <c r="C606" i="36"/>
  <c r="C614" i="36"/>
  <c r="C622" i="36"/>
  <c r="C630" i="36"/>
  <c r="C638" i="36"/>
  <c r="C646" i="36"/>
  <c r="C654" i="36"/>
  <c r="C662" i="36"/>
  <c r="C670" i="36"/>
  <c r="C678" i="36"/>
  <c r="C686" i="36"/>
  <c r="C694" i="36"/>
  <c r="C702" i="36"/>
  <c r="C710" i="36"/>
  <c r="C718" i="36"/>
  <c r="C726" i="36"/>
  <c r="C734" i="36"/>
  <c r="C742" i="36"/>
  <c r="C750" i="36"/>
  <c r="C758" i="36"/>
  <c r="C766" i="36"/>
  <c r="C774" i="36"/>
  <c r="C782" i="36"/>
  <c r="C790" i="36"/>
  <c r="C798" i="36"/>
  <c r="C806" i="36"/>
  <c r="C814" i="36"/>
  <c r="C822" i="36"/>
  <c r="C830" i="36"/>
  <c r="C838" i="36"/>
  <c r="C19" i="36"/>
  <c r="C35" i="36"/>
  <c r="C51" i="36"/>
  <c r="C67" i="36"/>
  <c r="C83" i="36"/>
  <c r="C99" i="36"/>
  <c r="C115" i="36"/>
  <c r="C131" i="36"/>
  <c r="C147" i="36"/>
  <c r="C163" i="36"/>
  <c r="C175" i="36"/>
  <c r="C186" i="36"/>
  <c r="C197" i="36"/>
  <c r="C207" i="36"/>
  <c r="C215" i="36"/>
  <c r="C223" i="36"/>
  <c r="C231" i="36"/>
  <c r="C239" i="36"/>
  <c r="C247" i="36"/>
  <c r="C255" i="36"/>
  <c r="C263" i="36"/>
  <c r="C271" i="36"/>
  <c r="C279" i="36"/>
  <c r="C287" i="36"/>
  <c r="C295" i="36"/>
  <c r="C303" i="36"/>
  <c r="C311" i="36"/>
  <c r="C319" i="36"/>
  <c r="C327" i="36"/>
  <c r="C335" i="36"/>
  <c r="C343" i="36"/>
  <c r="C351" i="36"/>
  <c r="C359" i="36"/>
  <c r="C367" i="36"/>
  <c r="C375" i="36"/>
  <c r="C383" i="36"/>
  <c r="C391" i="36"/>
  <c r="C399" i="36"/>
  <c r="C407" i="36"/>
  <c r="C415" i="36"/>
  <c r="C423" i="36"/>
  <c r="C431" i="36"/>
  <c r="C439" i="36"/>
  <c r="C447" i="36"/>
  <c r="C455" i="36"/>
  <c r="C463" i="36"/>
  <c r="C471" i="36"/>
  <c r="C479" i="36"/>
  <c r="C487" i="36"/>
  <c r="C495" i="36"/>
  <c r="C503" i="36"/>
  <c r="C511" i="36"/>
  <c r="C519" i="36"/>
  <c r="C527" i="36"/>
  <c r="C535" i="36"/>
  <c r="C543" i="36"/>
  <c r="C551" i="36"/>
  <c r="C559" i="36"/>
  <c r="C567" i="36"/>
  <c r="C575" i="36"/>
  <c r="C583" i="36"/>
  <c r="C591" i="36"/>
  <c r="C599" i="36"/>
  <c r="C607" i="36"/>
  <c r="C615" i="36"/>
  <c r="C623" i="36"/>
  <c r="C631" i="36"/>
  <c r="C639" i="36"/>
  <c r="C647" i="36"/>
  <c r="C655" i="36"/>
  <c r="C663" i="36"/>
  <c r="C671" i="36"/>
  <c r="C679" i="36"/>
  <c r="C687" i="36"/>
  <c r="C695" i="36"/>
  <c r="C703" i="36"/>
  <c r="C711" i="36"/>
  <c r="C719" i="36"/>
  <c r="C727" i="36"/>
  <c r="C735" i="36"/>
  <c r="C743" i="36"/>
  <c r="C751" i="36"/>
  <c r="C759" i="36"/>
  <c r="C767" i="36"/>
  <c r="C775" i="36"/>
  <c r="C783" i="36"/>
  <c r="C791" i="36"/>
  <c r="C799" i="36"/>
  <c r="C807" i="36"/>
  <c r="C815" i="36"/>
  <c r="C823" i="36"/>
  <c r="C831" i="36"/>
  <c r="C839" i="36"/>
  <c r="C786" i="36"/>
  <c r="C722" i="36"/>
  <c r="C658" i="36"/>
  <c r="C594" i="36"/>
  <c r="C530" i="36"/>
  <c r="C466" i="36"/>
  <c r="C402" i="36"/>
  <c r="C338" i="36"/>
  <c r="C210" i="36"/>
  <c r="C834" i="36"/>
  <c r="C802" i="36"/>
  <c r="C770" i="36"/>
  <c r="C738" i="36"/>
  <c r="C706" i="36"/>
  <c r="C674" i="36"/>
  <c r="C642" i="36"/>
  <c r="C610" i="36"/>
  <c r="C578" i="36"/>
  <c r="C546" i="36"/>
  <c r="C514" i="36"/>
  <c r="C482" i="36"/>
  <c r="C450" i="36"/>
  <c r="C418" i="36"/>
  <c r="C386" i="36"/>
  <c r="C354" i="36"/>
  <c r="C322" i="36"/>
  <c r="C290" i="36"/>
  <c r="C258" i="36"/>
  <c r="C226" i="36"/>
  <c r="C190" i="36"/>
  <c r="C138" i="36"/>
  <c r="C74" i="36"/>
  <c r="C10" i="36"/>
  <c r="D10" i="36" l="1"/>
  <c r="D482" i="36"/>
  <c r="D786" i="36"/>
  <c r="D799" i="36"/>
  <c r="D735" i="36"/>
  <c r="D639" i="36"/>
  <c r="D575" i="36"/>
  <c r="D479" i="36"/>
  <c r="D415" i="36"/>
  <c r="D319" i="36"/>
  <c r="D255" i="36"/>
  <c r="D186" i="36"/>
  <c r="D742" i="36"/>
  <c r="D18" i="36"/>
  <c r="D354" i="36"/>
  <c r="D738" i="36"/>
  <c r="D530" i="36"/>
  <c r="D703" i="36"/>
  <c r="D131" i="36"/>
  <c r="D838" i="36"/>
  <c r="D582" i="36"/>
  <c r="D226" i="36"/>
  <c r="D610" i="36"/>
  <c r="D210" i="36"/>
  <c r="D831" i="36"/>
  <c r="D767" i="36"/>
  <c r="D671" i="36"/>
  <c r="D607" i="36"/>
  <c r="D543" i="36"/>
  <c r="D511" i="36"/>
  <c r="D447" i="36"/>
  <c r="D383" i="36"/>
  <c r="D351" i="36"/>
  <c r="D287" i="36"/>
  <c r="D223" i="36"/>
  <c r="D67" i="36"/>
  <c r="D806" i="36"/>
  <c r="D774" i="36"/>
  <c r="D710" i="36"/>
  <c r="D678" i="36"/>
  <c r="D646" i="36"/>
  <c r="D614" i="36"/>
  <c r="D550" i="36"/>
  <c r="D518" i="36"/>
  <c r="D486" i="36"/>
  <c r="D454" i="36"/>
  <c r="D422" i="36"/>
  <c r="D390" i="36"/>
  <c r="D358" i="36"/>
  <c r="D326" i="36"/>
  <c r="D294" i="36"/>
  <c r="D262" i="36"/>
  <c r="D230" i="36"/>
  <c r="D195" i="36"/>
  <c r="D146" i="36"/>
  <c r="D82" i="36"/>
  <c r="D819" i="36"/>
  <c r="D755" i="36"/>
  <c r="D659" i="36"/>
  <c r="D595" i="36"/>
  <c r="D499" i="36"/>
  <c r="D403" i="36"/>
  <c r="D307" i="36"/>
  <c r="D211" i="36"/>
  <c r="D43" i="36"/>
  <c r="D825" i="36"/>
  <c r="D793" i="36"/>
  <c r="D745" i="36"/>
  <c r="D697" i="36"/>
  <c r="D649" i="36"/>
  <c r="D617" i="36"/>
  <c r="D569" i="36"/>
  <c r="D521" i="36"/>
  <c r="D473" i="36"/>
  <c r="D425" i="36"/>
  <c r="D377" i="36"/>
  <c r="D329" i="36"/>
  <c r="D281" i="36"/>
  <c r="D249" i="36"/>
  <c r="D199" i="36"/>
  <c r="D119" i="36"/>
  <c r="D23" i="36"/>
  <c r="D840" i="36"/>
  <c r="D792" i="36"/>
  <c r="D744" i="36"/>
  <c r="D696" i="36"/>
  <c r="D664" i="36"/>
  <c r="D616" i="36"/>
  <c r="D584" i="36"/>
  <c r="D536" i="36"/>
  <c r="D488" i="36"/>
  <c r="D456" i="36"/>
  <c r="D408" i="36"/>
  <c r="D376" i="36"/>
  <c r="D328" i="36"/>
  <c r="D280" i="36"/>
  <c r="D232" i="36"/>
  <c r="D177" i="36"/>
  <c r="D86" i="36"/>
  <c r="D161" i="36"/>
  <c r="D129" i="36"/>
  <c r="D81" i="36"/>
  <c r="D33" i="36"/>
  <c r="D188" i="36"/>
  <c r="D140" i="36"/>
  <c r="D92" i="36"/>
  <c r="D44" i="36"/>
  <c r="D154" i="36"/>
  <c r="D554" i="36"/>
  <c r="D626" i="36"/>
  <c r="D179" i="36"/>
  <c r="D570" i="36"/>
  <c r="D826" i="36"/>
  <c r="D74" i="36"/>
  <c r="D258" i="36"/>
  <c r="D386" i="36"/>
  <c r="D514" i="36"/>
  <c r="D642" i="36"/>
  <c r="D770" i="36"/>
  <c r="D338" i="36"/>
  <c r="D594" i="36"/>
  <c r="D823" i="36"/>
  <c r="D791" i="36"/>
  <c r="D759" i="36"/>
  <c r="D727" i="36"/>
  <c r="D695" i="36"/>
  <c r="D663" i="36"/>
  <c r="D631" i="36"/>
  <c r="D599" i="36"/>
  <c r="D567" i="36"/>
  <c r="D535" i="36"/>
  <c r="D503" i="36"/>
  <c r="D471" i="36"/>
  <c r="D439" i="36"/>
  <c r="D407" i="36"/>
  <c r="D375" i="36"/>
  <c r="D343" i="36"/>
  <c r="D311" i="36"/>
  <c r="D279" i="36"/>
  <c r="D247" i="36"/>
  <c r="D215" i="36"/>
  <c r="D175" i="36"/>
  <c r="D115" i="36"/>
  <c r="D51" i="36"/>
  <c r="D830" i="36"/>
  <c r="D798" i="36"/>
  <c r="D766" i="36"/>
  <c r="D734" i="36"/>
  <c r="D702" i="36"/>
  <c r="D670" i="36"/>
  <c r="D638" i="36"/>
  <c r="D606" i="36"/>
  <c r="D574" i="36"/>
  <c r="D542" i="36"/>
  <c r="D510" i="36"/>
  <c r="D478" i="36"/>
  <c r="D446" i="36"/>
  <c r="D414" i="36"/>
  <c r="D382" i="36"/>
  <c r="D350" i="36"/>
  <c r="D318" i="36"/>
  <c r="D286" i="36"/>
  <c r="D254" i="36"/>
  <c r="D222" i="36"/>
  <c r="D185" i="36"/>
  <c r="D130" i="36"/>
  <c r="D66" i="36"/>
  <c r="D811" i="36"/>
  <c r="D779" i="36"/>
  <c r="D747" i="36"/>
  <c r="D715" i="36"/>
  <c r="D683" i="36"/>
  <c r="D651" i="36"/>
  <c r="D619" i="36"/>
  <c r="D587" i="36"/>
  <c r="D555" i="36"/>
  <c r="D523" i="36"/>
  <c r="D491" i="36"/>
  <c r="D459" i="36"/>
  <c r="D427" i="36"/>
  <c r="D395" i="36"/>
  <c r="D363" i="36"/>
  <c r="D331" i="36"/>
  <c r="D299" i="36"/>
  <c r="D267" i="36"/>
  <c r="D235" i="36"/>
  <c r="D202" i="36"/>
  <c r="D155" i="36"/>
  <c r="D91" i="36"/>
  <c r="D27" i="36"/>
  <c r="D837" i="36"/>
  <c r="D821" i="36"/>
  <c r="D805" i="36"/>
  <c r="D789" i="36"/>
  <c r="D773" i="36"/>
  <c r="D757" i="36"/>
  <c r="D741" i="36"/>
  <c r="D725" i="36"/>
  <c r="D709" i="36"/>
  <c r="D693" i="36"/>
  <c r="D677" i="36"/>
  <c r="D661" i="36"/>
  <c r="D645" i="36"/>
  <c r="D629" i="36"/>
  <c r="D613" i="36"/>
  <c r="D597" i="36"/>
  <c r="D581" i="36"/>
  <c r="D565" i="36"/>
  <c r="D549" i="36"/>
  <c r="D533" i="36"/>
  <c r="D517" i="36"/>
  <c r="D501" i="36"/>
  <c r="D485" i="36"/>
  <c r="D469" i="36"/>
  <c r="D453" i="36"/>
  <c r="D437" i="36"/>
  <c r="D421" i="36"/>
  <c r="D405" i="36"/>
  <c r="D389" i="36"/>
  <c r="D373" i="36"/>
  <c r="D357" i="36"/>
  <c r="D341" i="36"/>
  <c r="D325" i="36"/>
  <c r="D309" i="36"/>
  <c r="D293" i="36"/>
  <c r="D277" i="36"/>
  <c r="D261" i="36"/>
  <c r="D245" i="36"/>
  <c r="D229" i="36"/>
  <c r="D213" i="36"/>
  <c r="D194" i="36"/>
  <c r="D173" i="36"/>
  <c r="D143" i="36"/>
  <c r="D111" i="36"/>
  <c r="D79" i="36"/>
  <c r="D47" i="36"/>
  <c r="D15" i="36"/>
  <c r="D836" i="36"/>
  <c r="D820" i="36"/>
  <c r="D804" i="36"/>
  <c r="D788" i="36"/>
  <c r="D772" i="36"/>
  <c r="D756" i="36"/>
  <c r="D740" i="36"/>
  <c r="D724" i="36"/>
  <c r="D708" i="36"/>
  <c r="D692" i="36"/>
  <c r="D676" i="36"/>
  <c r="D660" i="36"/>
  <c r="D644" i="36"/>
  <c r="D628" i="36"/>
  <c r="D612" i="36"/>
  <c r="D596" i="36"/>
  <c r="D580" i="36"/>
  <c r="D564" i="36"/>
  <c r="D548" i="36"/>
  <c r="D532" i="36"/>
  <c r="D516" i="36"/>
  <c r="D500" i="36"/>
  <c r="D484" i="36"/>
  <c r="D468" i="36"/>
  <c r="D452" i="36"/>
  <c r="D436" i="36"/>
  <c r="D420" i="36"/>
  <c r="D404" i="36"/>
  <c r="D388" i="36"/>
  <c r="D372" i="36"/>
  <c r="D356" i="36"/>
  <c r="D340" i="36"/>
  <c r="D324" i="36"/>
  <c r="D308" i="36"/>
  <c r="D292" i="36"/>
  <c r="D276" i="36"/>
  <c r="D260" i="36"/>
  <c r="D244" i="36"/>
  <c r="D228" i="36"/>
  <c r="D212" i="36"/>
  <c r="D193" i="36"/>
  <c r="D171" i="36"/>
  <c r="D142" i="36"/>
  <c r="D110" i="36"/>
  <c r="D78" i="36"/>
  <c r="D46" i="36"/>
  <c r="D14" i="36"/>
  <c r="D157" i="36"/>
  <c r="D141" i="36"/>
  <c r="D125" i="36"/>
  <c r="D109" i="36"/>
  <c r="D93" i="36"/>
  <c r="D77" i="36"/>
  <c r="D61" i="36"/>
  <c r="D45" i="36"/>
  <c r="D29" i="36"/>
  <c r="D13" i="36"/>
  <c r="D200" i="36"/>
  <c r="D184" i="36"/>
  <c r="D168" i="36"/>
  <c r="D152" i="36"/>
  <c r="D136" i="36"/>
  <c r="D120" i="36"/>
  <c r="D104" i="36"/>
  <c r="D88" i="36"/>
  <c r="D72" i="36"/>
  <c r="D56" i="36"/>
  <c r="D40" i="36"/>
  <c r="D24" i="36"/>
  <c r="D8" i="36"/>
  <c r="D201" i="36"/>
  <c r="D330" i="36"/>
  <c r="D458" i="36"/>
  <c r="D586" i="36"/>
  <c r="D714" i="36"/>
  <c r="D842" i="36"/>
  <c r="D242" i="36"/>
  <c r="D434" i="36"/>
  <c r="D690" i="36"/>
  <c r="D218" i="36"/>
  <c r="D346" i="36"/>
  <c r="D474" i="36"/>
  <c r="D602" i="36"/>
  <c r="D730" i="36"/>
  <c r="D691" i="36"/>
  <c r="D563" i="36"/>
  <c r="D467" i="36"/>
  <c r="D371" i="36"/>
  <c r="D275" i="36"/>
  <c r="D170" i="36"/>
  <c r="D809" i="36"/>
  <c r="D761" i="36"/>
  <c r="D713" i="36"/>
  <c r="D665" i="36"/>
  <c r="D601" i="36"/>
  <c r="D553" i="36"/>
  <c r="D505" i="36"/>
  <c r="D441" i="36"/>
  <c r="D393" i="36"/>
  <c r="D345" i="36"/>
  <c r="D297" i="36"/>
  <c r="D233" i="36"/>
  <c r="D178" i="36"/>
  <c r="D87" i="36"/>
  <c r="D808" i="36"/>
  <c r="D760" i="36"/>
  <c r="D712" i="36"/>
  <c r="D648" i="36"/>
  <c r="D600" i="36"/>
  <c r="D552" i="36"/>
  <c r="D520" i="36"/>
  <c r="D472" i="36"/>
  <c r="D424" i="36"/>
  <c r="D344" i="36"/>
  <c r="D296" i="36"/>
  <c r="D248" i="36"/>
  <c r="D198" i="36"/>
  <c r="D118" i="36"/>
  <c r="D22" i="36"/>
  <c r="D113" i="36"/>
  <c r="D65" i="36"/>
  <c r="D17" i="36"/>
  <c r="D172" i="36"/>
  <c r="D108" i="36"/>
  <c r="D60" i="36"/>
  <c r="D12" i="36"/>
  <c r="D426" i="36"/>
  <c r="D682" i="36"/>
  <c r="D169" i="36"/>
  <c r="D314" i="36"/>
  <c r="D698" i="36"/>
  <c r="D138" i="36"/>
  <c r="D290" i="36"/>
  <c r="D418" i="36"/>
  <c r="D546" i="36"/>
  <c r="D674" i="36"/>
  <c r="D802" i="36"/>
  <c r="D402" i="36"/>
  <c r="D658" i="36"/>
  <c r="D815" i="36"/>
  <c r="D783" i="36"/>
  <c r="D751" i="36"/>
  <c r="D719" i="36"/>
  <c r="D687" i="36"/>
  <c r="D655" i="36"/>
  <c r="D623" i="36"/>
  <c r="D591" i="36"/>
  <c r="D559" i="36"/>
  <c r="D527" i="36"/>
  <c r="D495" i="36"/>
  <c r="D463" i="36"/>
  <c r="D431" i="36"/>
  <c r="D399" i="36"/>
  <c r="D367" i="36"/>
  <c r="D335" i="36"/>
  <c r="D303" i="36"/>
  <c r="D271" i="36"/>
  <c r="D239" i="36"/>
  <c r="D207" i="36"/>
  <c r="D163" i="36"/>
  <c r="D99" i="36"/>
  <c r="D35" i="36"/>
  <c r="D822" i="36"/>
  <c r="D790" i="36"/>
  <c r="D758" i="36"/>
  <c r="D726" i="36"/>
  <c r="D694" i="36"/>
  <c r="D662" i="36"/>
  <c r="D630" i="36"/>
  <c r="D598" i="36"/>
  <c r="D566" i="36"/>
  <c r="D534" i="36"/>
  <c r="D502" i="36"/>
  <c r="D470" i="36"/>
  <c r="D438" i="36"/>
  <c r="D406" i="36"/>
  <c r="D374" i="36"/>
  <c r="D342" i="36"/>
  <c r="D310" i="36"/>
  <c r="D278" i="36"/>
  <c r="D246" i="36"/>
  <c r="D214" i="36"/>
  <c r="D174" i="36"/>
  <c r="D114" i="36"/>
  <c r="D50" i="36"/>
  <c r="D4" i="36"/>
  <c r="D835" i="36"/>
  <c r="D803" i="36"/>
  <c r="D771" i="36"/>
  <c r="D739" i="36"/>
  <c r="D707" i="36"/>
  <c r="D675" i="36"/>
  <c r="D643" i="36"/>
  <c r="D611" i="36"/>
  <c r="D579" i="36"/>
  <c r="D547" i="36"/>
  <c r="D515" i="36"/>
  <c r="D483" i="36"/>
  <c r="D451" i="36"/>
  <c r="D419" i="36"/>
  <c r="D387" i="36"/>
  <c r="D355" i="36"/>
  <c r="D323" i="36"/>
  <c r="D291" i="36"/>
  <c r="D259" i="36"/>
  <c r="D227" i="36"/>
  <c r="D191" i="36"/>
  <c r="D139" i="36"/>
  <c r="D75" i="36"/>
  <c r="D11" i="36"/>
  <c r="D833" i="36"/>
  <c r="D817" i="36"/>
  <c r="D801" i="36"/>
  <c r="D785" i="36"/>
  <c r="D769" i="36"/>
  <c r="D753" i="36"/>
  <c r="D737" i="36"/>
  <c r="D721" i="36"/>
  <c r="D705" i="36"/>
  <c r="D689" i="36"/>
  <c r="D673" i="36"/>
  <c r="D657" i="36"/>
  <c r="D641" i="36"/>
  <c r="D625" i="36"/>
  <c r="D609" i="36"/>
  <c r="D593" i="36"/>
  <c r="D577" i="36"/>
  <c r="D561" i="36"/>
  <c r="D545" i="36"/>
  <c r="D529" i="36"/>
  <c r="D513" i="36"/>
  <c r="D497" i="36"/>
  <c r="D481" i="36"/>
  <c r="D465" i="36"/>
  <c r="D449" i="36"/>
  <c r="D433" i="36"/>
  <c r="D417" i="36"/>
  <c r="D401" i="36"/>
  <c r="D385" i="36"/>
  <c r="D369" i="36"/>
  <c r="D353" i="36"/>
  <c r="D337" i="36"/>
  <c r="D321" i="36"/>
  <c r="D305" i="36"/>
  <c r="D289" i="36"/>
  <c r="D273" i="36"/>
  <c r="D257" i="36"/>
  <c r="D241" i="36"/>
  <c r="D225" i="36"/>
  <c r="D209" i="36"/>
  <c r="D189" i="36"/>
  <c r="D167" i="36"/>
  <c r="D135" i="36"/>
  <c r="D103" i="36"/>
  <c r="D71" i="36"/>
  <c r="D39" i="36"/>
  <c r="D7" i="36"/>
  <c r="D832" i="36"/>
  <c r="D816" i="36"/>
  <c r="D800" i="36"/>
  <c r="D784" i="36"/>
  <c r="D768" i="36"/>
  <c r="D752" i="36"/>
  <c r="D736" i="36"/>
  <c r="D720" i="36"/>
  <c r="D704" i="36"/>
  <c r="D688" i="36"/>
  <c r="D672" i="36"/>
  <c r="D656" i="36"/>
  <c r="D640" i="36"/>
  <c r="D624" i="36"/>
  <c r="D608" i="36"/>
  <c r="D592" i="36"/>
  <c r="D576" i="36"/>
  <c r="D560" i="36"/>
  <c r="D544" i="36"/>
  <c r="D528" i="36"/>
  <c r="D512" i="36"/>
  <c r="D496" i="36"/>
  <c r="D480" i="36"/>
  <c r="D464" i="36"/>
  <c r="D448" i="36"/>
  <c r="D432" i="36"/>
  <c r="D416" i="36"/>
  <c r="D400" i="36"/>
  <c r="D384" i="36"/>
  <c r="D368" i="36"/>
  <c r="D352" i="36"/>
  <c r="D336" i="36"/>
  <c r="D320" i="36"/>
  <c r="D304" i="36"/>
  <c r="D288" i="36"/>
  <c r="D272" i="36"/>
  <c r="D256" i="36"/>
  <c r="D240" i="36"/>
  <c r="D224" i="36"/>
  <c r="D208" i="36"/>
  <c r="D187" i="36"/>
  <c r="D166" i="36"/>
  <c r="D134" i="36"/>
  <c r="D102" i="36"/>
  <c r="D70" i="36"/>
  <c r="D38" i="36"/>
  <c r="D6" i="36"/>
  <c r="D153" i="36"/>
  <c r="D137" i="36"/>
  <c r="D121" i="36"/>
  <c r="D105" i="36"/>
  <c r="D89" i="36"/>
  <c r="D73" i="36"/>
  <c r="D57" i="36"/>
  <c r="D41" i="36"/>
  <c r="D25" i="36"/>
  <c r="D9" i="36"/>
  <c r="D196" i="36"/>
  <c r="D180" i="36"/>
  <c r="D164" i="36"/>
  <c r="D148" i="36"/>
  <c r="D132" i="36"/>
  <c r="D116" i="36"/>
  <c r="D100" i="36"/>
  <c r="D84" i="36"/>
  <c r="D68" i="36"/>
  <c r="D52" i="36"/>
  <c r="D36" i="36"/>
  <c r="D20" i="36"/>
  <c r="D234" i="36"/>
  <c r="D362" i="36"/>
  <c r="D490" i="36"/>
  <c r="D618" i="36"/>
  <c r="D746" i="36"/>
  <c r="D42" i="36"/>
  <c r="D274" i="36"/>
  <c r="D498" i="36"/>
  <c r="D754" i="36"/>
  <c r="D58" i="36"/>
  <c r="D250" i="36"/>
  <c r="D378" i="36"/>
  <c r="D506" i="36"/>
  <c r="D634" i="36"/>
  <c r="D762" i="36"/>
  <c r="D787" i="36"/>
  <c r="D723" i="36"/>
  <c r="D627" i="36"/>
  <c r="D531" i="36"/>
  <c r="D435" i="36"/>
  <c r="D339" i="36"/>
  <c r="D243" i="36"/>
  <c r="D107" i="36"/>
  <c r="D841" i="36"/>
  <c r="D777" i="36"/>
  <c r="D729" i="36"/>
  <c r="D681" i="36"/>
  <c r="D633" i="36"/>
  <c r="D585" i="36"/>
  <c r="D537" i="36"/>
  <c r="D489" i="36"/>
  <c r="D457" i="36"/>
  <c r="D409" i="36"/>
  <c r="D361" i="36"/>
  <c r="D313" i="36"/>
  <c r="D265" i="36"/>
  <c r="D217" i="36"/>
  <c r="D151" i="36"/>
  <c r="D55" i="36"/>
  <c r="D824" i="36"/>
  <c r="D776" i="36"/>
  <c r="D728" i="36"/>
  <c r="D680" i="36"/>
  <c r="D632" i="36"/>
  <c r="D568" i="36"/>
  <c r="D504" i="36"/>
  <c r="D440" i="36"/>
  <c r="D392" i="36"/>
  <c r="D360" i="36"/>
  <c r="D312" i="36"/>
  <c r="D264" i="36"/>
  <c r="D216" i="36"/>
  <c r="D150" i="36"/>
  <c r="D54" i="36"/>
  <c r="D145" i="36"/>
  <c r="D97" i="36"/>
  <c r="D49" i="36"/>
  <c r="D204" i="36"/>
  <c r="D156" i="36"/>
  <c r="D124" i="36"/>
  <c r="D76" i="36"/>
  <c r="D28" i="36"/>
  <c r="D298" i="36"/>
  <c r="D810" i="36"/>
  <c r="D370" i="36"/>
  <c r="D442" i="36"/>
  <c r="D190" i="36"/>
  <c r="D322" i="36"/>
  <c r="D450" i="36"/>
  <c r="D578" i="36"/>
  <c r="D706" i="36"/>
  <c r="D834" i="36"/>
  <c r="D466" i="36"/>
  <c r="D722" i="36"/>
  <c r="D839" i="36"/>
  <c r="D807" i="36"/>
  <c r="D775" i="36"/>
  <c r="D743" i="36"/>
  <c r="D711" i="36"/>
  <c r="D679" i="36"/>
  <c r="D647" i="36"/>
  <c r="D615" i="36"/>
  <c r="D583" i="36"/>
  <c r="D551" i="36"/>
  <c r="D519" i="36"/>
  <c r="D487" i="36"/>
  <c r="D455" i="36"/>
  <c r="D423" i="36"/>
  <c r="D391" i="36"/>
  <c r="D359" i="36"/>
  <c r="D327" i="36"/>
  <c r="D295" i="36"/>
  <c r="D263" i="36"/>
  <c r="D231" i="36"/>
  <c r="D197" i="36"/>
  <c r="D147" i="36"/>
  <c r="D83" i="36"/>
  <c r="D19" i="36"/>
  <c r="D814" i="36"/>
  <c r="D782" i="36"/>
  <c r="D750" i="36"/>
  <c r="D718" i="36"/>
  <c r="D686" i="36"/>
  <c r="D654" i="36"/>
  <c r="D622" i="36"/>
  <c r="D590" i="36"/>
  <c r="D558" i="36"/>
  <c r="D526" i="36"/>
  <c r="D494" i="36"/>
  <c r="D462" i="36"/>
  <c r="D430" i="36"/>
  <c r="D398" i="36"/>
  <c r="D366" i="36"/>
  <c r="D334" i="36"/>
  <c r="D302" i="36"/>
  <c r="D270" i="36"/>
  <c r="D238" i="36"/>
  <c r="D206" i="36"/>
  <c r="D162" i="36"/>
  <c r="D98" i="36"/>
  <c r="D34" i="36"/>
  <c r="D827" i="36"/>
  <c r="D795" i="36"/>
  <c r="D763" i="36"/>
  <c r="D731" i="36"/>
  <c r="D699" i="36"/>
  <c r="D667" i="36"/>
  <c r="D635" i="36"/>
  <c r="D603" i="36"/>
  <c r="D571" i="36"/>
  <c r="D539" i="36"/>
  <c r="D507" i="36"/>
  <c r="D475" i="36"/>
  <c r="D443" i="36"/>
  <c r="D411" i="36"/>
  <c r="D379" i="36"/>
  <c r="D347" i="36"/>
  <c r="D315" i="36"/>
  <c r="D283" i="36"/>
  <c r="D251" i="36"/>
  <c r="D219" i="36"/>
  <c r="D181" i="36"/>
  <c r="D123" i="36"/>
  <c r="D59" i="36"/>
  <c r="D829" i="36"/>
  <c r="D813" i="36"/>
  <c r="D797" i="36"/>
  <c r="D781" i="36"/>
  <c r="D765" i="36"/>
  <c r="D749" i="36"/>
  <c r="D733" i="36"/>
  <c r="D717" i="36"/>
  <c r="D701" i="36"/>
  <c r="D685" i="36"/>
  <c r="D669" i="36"/>
  <c r="D653" i="36"/>
  <c r="D637" i="36"/>
  <c r="D621" i="36"/>
  <c r="D605" i="36"/>
  <c r="D589" i="36"/>
  <c r="D573" i="36"/>
  <c r="D557" i="36"/>
  <c r="D541" i="36"/>
  <c r="D525" i="36"/>
  <c r="D509" i="36"/>
  <c r="D493" i="36"/>
  <c r="D477" i="36"/>
  <c r="D461" i="36"/>
  <c r="D445" i="36"/>
  <c r="D429" i="36"/>
  <c r="D413" i="36"/>
  <c r="D397" i="36"/>
  <c r="D381" i="36"/>
  <c r="D365" i="36"/>
  <c r="D349" i="36"/>
  <c r="D333" i="36"/>
  <c r="D317" i="36"/>
  <c r="D301" i="36"/>
  <c r="D285" i="36"/>
  <c r="D269" i="36"/>
  <c r="D253" i="36"/>
  <c r="D237" i="36"/>
  <c r="D221" i="36"/>
  <c r="D205" i="36"/>
  <c r="D183" i="36"/>
  <c r="D159" i="36"/>
  <c r="D127" i="36"/>
  <c r="D95" i="36"/>
  <c r="D63" i="36"/>
  <c r="D31" i="36"/>
  <c r="D828" i="36"/>
  <c r="D812" i="36"/>
  <c r="D796" i="36"/>
  <c r="D780" i="36"/>
  <c r="D764" i="36"/>
  <c r="D748" i="36"/>
  <c r="D732" i="36"/>
  <c r="D716" i="36"/>
  <c r="D700" i="36"/>
  <c r="D684" i="36"/>
  <c r="D668" i="36"/>
  <c r="D652" i="36"/>
  <c r="D636" i="36"/>
  <c r="D620" i="36"/>
  <c r="D604" i="36"/>
  <c r="D588" i="36"/>
  <c r="D572" i="36"/>
  <c r="D556" i="36"/>
  <c r="D540" i="36"/>
  <c r="D524" i="36"/>
  <c r="D508" i="36"/>
  <c r="D492" i="36"/>
  <c r="D476" i="36"/>
  <c r="D460" i="36"/>
  <c r="D444" i="36"/>
  <c r="D428" i="36"/>
  <c r="D412" i="36"/>
  <c r="D396" i="36"/>
  <c r="D380" i="36"/>
  <c r="D364" i="36"/>
  <c r="D348" i="36"/>
  <c r="D332" i="36"/>
  <c r="D316" i="36"/>
  <c r="D300" i="36"/>
  <c r="D284" i="36"/>
  <c r="D268" i="36"/>
  <c r="D252" i="36"/>
  <c r="D236" i="36"/>
  <c r="D220" i="36"/>
  <c r="D203" i="36"/>
  <c r="D182" i="36"/>
  <c r="D158" i="36"/>
  <c r="D126" i="36"/>
  <c r="D94" i="36"/>
  <c r="D62" i="36"/>
  <c r="D30" i="36"/>
  <c r="D165" i="36"/>
  <c r="D149" i="36"/>
  <c r="D133" i="36"/>
  <c r="D117" i="36"/>
  <c r="D101" i="36"/>
  <c r="D85" i="36"/>
  <c r="D69" i="36"/>
  <c r="D53" i="36"/>
  <c r="D37" i="36"/>
  <c r="D21" i="36"/>
  <c r="D5" i="36"/>
  <c r="D192" i="36"/>
  <c r="D176" i="36"/>
  <c r="D160" i="36"/>
  <c r="D144" i="36"/>
  <c r="D128" i="36"/>
  <c r="D112" i="36"/>
  <c r="D96" i="36"/>
  <c r="D80" i="36"/>
  <c r="D64" i="36"/>
  <c r="D48" i="36"/>
  <c r="D32" i="36"/>
  <c r="D16" i="36"/>
  <c r="D90" i="36"/>
  <c r="D266" i="36"/>
  <c r="D394" i="36"/>
  <c r="D522" i="36"/>
  <c r="D650" i="36"/>
  <c r="D778" i="36"/>
  <c r="D106" i="36"/>
  <c r="D306" i="36"/>
  <c r="D562" i="36"/>
  <c r="D818" i="36"/>
  <c r="D122" i="36"/>
  <c r="D282" i="36"/>
  <c r="D410" i="36"/>
  <c r="D538" i="36"/>
  <c r="D666" i="36"/>
  <c r="D794" i="36"/>
  <c r="I842" i="36"/>
  <c r="I187" i="36"/>
  <c r="I714" i="36"/>
  <c r="I529" i="36"/>
  <c r="I656" i="36"/>
  <c r="I688" i="36"/>
  <c r="I480" i="36"/>
  <c r="I524" i="36"/>
  <c r="I737" i="36"/>
  <c r="I534" i="36"/>
  <c r="I462" i="36"/>
  <c r="I692" i="36"/>
  <c r="I385" i="36"/>
  <c r="I727" i="36"/>
  <c r="I521" i="36"/>
  <c r="I781" i="36"/>
  <c r="I611" i="36"/>
  <c r="I473" i="36"/>
  <c r="I753" i="36"/>
  <c r="I660" i="36"/>
  <c r="I678" i="36"/>
  <c r="I680" i="36"/>
  <c r="E480" i="36"/>
  <c r="I789" i="36" l="1"/>
  <c r="I244" i="36"/>
  <c r="I192" i="36"/>
  <c r="I271" i="36"/>
  <c r="I370" i="36"/>
  <c r="I368" i="36"/>
  <c r="I278" i="36"/>
  <c r="I243" i="36"/>
  <c r="I349" i="36"/>
  <c r="I238" i="36"/>
  <c r="I323" i="36"/>
  <c r="I288" i="36"/>
  <c r="I57" i="36"/>
  <c r="I293" i="36"/>
  <c r="I92" i="36"/>
  <c r="I262" i="36"/>
  <c r="I148" i="36"/>
  <c r="I34" i="36"/>
  <c r="I374" i="36"/>
  <c r="I32" i="36"/>
  <c r="I213" i="36"/>
  <c r="I279" i="36"/>
  <c r="I298" i="36"/>
  <c r="I291" i="36"/>
  <c r="I259" i="36"/>
  <c r="I111" i="36"/>
  <c r="I344" i="36"/>
  <c r="I248" i="36"/>
  <c r="I340" i="36"/>
  <c r="I225" i="36"/>
  <c r="I330" i="36"/>
  <c r="I313" i="36"/>
  <c r="I303" i="36"/>
  <c r="I198" i="36"/>
  <c r="I208" i="36"/>
  <c r="I367" i="36"/>
  <c r="I263" i="36"/>
  <c r="I250" i="36"/>
  <c r="I372" i="36"/>
  <c r="I226" i="36"/>
  <c r="I320" i="36"/>
  <c r="I358" i="36"/>
  <c r="I790" i="36"/>
  <c r="I383" i="36"/>
  <c r="I769" i="36"/>
  <c r="I510" i="36"/>
  <c r="I464" i="36"/>
  <c r="I615" i="36"/>
  <c r="I647" i="36"/>
  <c r="I749" i="36"/>
  <c r="I543" i="36"/>
  <c r="I699" i="36"/>
  <c r="I603" i="36"/>
  <c r="I766" i="36"/>
  <c r="I673" i="36"/>
  <c r="I747" i="36"/>
  <c r="I663" i="36"/>
  <c r="I387" i="36"/>
  <c r="I388" i="36"/>
  <c r="I683" i="36"/>
  <c r="I651" i="36"/>
  <c r="I447" i="36"/>
  <c r="I770" i="36"/>
  <c r="I713" i="36"/>
  <c r="I670" i="36"/>
  <c r="I697" i="36"/>
  <c r="I776" i="36"/>
  <c r="I565" i="36"/>
  <c r="I709" i="36"/>
  <c r="I838" i="36"/>
  <c r="I584" i="36"/>
  <c r="I657" i="36"/>
  <c r="I494" i="36"/>
  <c r="I395" i="36"/>
  <c r="I731" i="36"/>
  <c r="I728" i="36"/>
  <c r="I593" i="36"/>
  <c r="I436" i="36"/>
  <c r="I613" i="36"/>
  <c r="I508" i="36"/>
  <c r="I433" i="36"/>
  <c r="I706" i="36"/>
  <c r="I518" i="36"/>
  <c r="I497" i="36"/>
  <c r="I642" i="36"/>
  <c r="I378" i="36"/>
  <c r="I712" i="36"/>
  <c r="I393" i="36"/>
  <c r="I607" i="36"/>
  <c r="I443" i="36"/>
  <c r="I448" i="36"/>
  <c r="I435" i="36"/>
  <c r="I764" i="36"/>
  <c r="I588" i="36"/>
  <c r="I592" i="36"/>
  <c r="I664" i="36"/>
  <c r="I499" i="36"/>
  <c r="I548" i="36"/>
  <c r="I202" i="36"/>
  <c r="I318" i="36"/>
  <c r="I220" i="36"/>
  <c r="I253" i="36"/>
  <c r="I309" i="36"/>
  <c r="I398" i="36"/>
  <c r="I740" i="36"/>
  <c r="I693" i="36"/>
  <c r="I427" i="36"/>
  <c r="I818" i="36"/>
  <c r="I432" i="36"/>
  <c r="I614" i="36"/>
  <c r="I449" i="36"/>
  <c r="I650" i="36"/>
  <c r="I840" i="36"/>
  <c r="I596" i="36"/>
  <c r="I725" i="36"/>
  <c r="I705" i="36"/>
  <c r="I450" i="36"/>
  <c r="I679" i="36"/>
  <c r="I547" i="36"/>
  <c r="I700" i="36"/>
  <c r="I836" i="36"/>
  <c r="I590" i="36"/>
  <c r="I445" i="36"/>
  <c r="I410" i="36"/>
  <c r="I691" i="36"/>
  <c r="I639" i="36"/>
  <c r="I573" i="36"/>
  <c r="I488" i="36"/>
  <c r="I598" i="36"/>
  <c r="I587" i="36"/>
  <c r="I761" i="36"/>
  <c r="I487" i="36"/>
  <c r="I580" i="36"/>
  <c r="I594" i="36"/>
  <c r="I654" i="36"/>
  <c r="I438" i="36"/>
  <c r="I444" i="36"/>
  <c r="I648" i="36"/>
  <c r="I695" i="36"/>
  <c r="I744" i="36"/>
  <c r="I602" i="36"/>
  <c r="I463" i="36"/>
  <c r="I466" i="36"/>
  <c r="I511" i="36"/>
  <c r="I509" i="36"/>
  <c r="I687" i="36"/>
  <c r="I425" i="36"/>
  <c r="I707" i="36"/>
  <c r="I826" i="36"/>
  <c r="I533" i="36"/>
  <c r="I619" i="36"/>
  <c r="I645" i="36"/>
  <c r="I710" i="36"/>
  <c r="I595" i="36"/>
  <c r="I649" i="36"/>
  <c r="I486" i="36"/>
  <c r="I659" i="36"/>
  <c r="I403" i="36"/>
  <c r="I513" i="36"/>
  <c r="I564" i="36"/>
  <c r="I643" i="36"/>
  <c r="I658" i="36"/>
  <c r="I816" i="36"/>
  <c r="I599" i="36"/>
  <c r="I752" i="36"/>
  <c r="I492" i="36"/>
  <c r="I538" i="36"/>
  <c r="I719" i="36"/>
  <c r="I612" i="36"/>
  <c r="I35" i="36"/>
  <c r="I268" i="36"/>
  <c r="I233" i="36"/>
  <c r="I221" i="36"/>
  <c r="I97" i="36"/>
  <c r="I342" i="36"/>
  <c r="I270" i="36"/>
  <c r="I360" i="36"/>
  <c r="I185" i="36"/>
  <c r="I204" i="36"/>
  <c r="I199" i="36"/>
  <c r="I103" i="36"/>
  <c r="I173" i="36"/>
  <c r="I273" i="36"/>
  <c r="I290" i="36"/>
  <c r="I252" i="36"/>
  <c r="I355" i="36"/>
  <c r="I269" i="36"/>
  <c r="I183" i="36"/>
  <c r="I180" i="36"/>
  <c r="I354" i="36"/>
  <c r="I214" i="36"/>
  <c r="I276" i="36"/>
  <c r="I282" i="36"/>
  <c r="I155" i="36"/>
  <c r="I257" i="36"/>
  <c r="I152" i="36"/>
  <c r="I16" i="36"/>
  <c r="I160" i="36"/>
  <c r="I274" i="36"/>
  <c r="I7" i="36"/>
  <c r="I234" i="36"/>
  <c r="I333" i="36"/>
  <c r="I305" i="36"/>
  <c r="I166" i="36"/>
  <c r="I171" i="36"/>
  <c r="I286" i="36"/>
  <c r="I359" i="36"/>
  <c r="I255" i="36"/>
  <c r="I280" i="36"/>
  <c r="I297" i="36"/>
  <c r="I27" i="36"/>
  <c r="I207" i="36"/>
  <c r="I294" i="36"/>
  <c r="I178" i="36"/>
  <c r="I394" i="36"/>
  <c r="I439" i="36"/>
  <c r="I485" i="36"/>
  <c r="I459" i="36"/>
  <c r="I500" i="36"/>
  <c r="I442" i="36"/>
  <c r="I424" i="36"/>
  <c r="I585" i="36"/>
  <c r="I671" i="36"/>
  <c r="I606" i="36"/>
  <c r="I730" i="36"/>
  <c r="I726" i="36"/>
  <c r="I621" i="36"/>
  <c r="I824" i="36"/>
  <c r="I420" i="36"/>
  <c r="I708" i="36"/>
  <c r="I418" i="36"/>
  <c r="I608" i="36"/>
  <c r="I604" i="36"/>
  <c r="I674" i="36"/>
  <c r="I600" i="36"/>
  <c r="I591" i="36"/>
  <c r="I703" i="36"/>
  <c r="I681" i="36"/>
  <c r="I722" i="36"/>
  <c r="I426" i="36"/>
  <c r="I467" i="36"/>
  <c r="I702" i="36"/>
  <c r="I755" i="36"/>
  <c r="I618" i="36"/>
  <c r="I437" i="36"/>
  <c r="I481" i="36"/>
  <c r="I515" i="36"/>
  <c r="I483" i="36"/>
  <c r="I677" i="36"/>
  <c r="I631" i="36"/>
  <c r="I528" i="36"/>
  <c r="I460" i="36"/>
  <c r="I440" i="36"/>
  <c r="I750" i="36"/>
  <c r="I733" i="36"/>
  <c r="I458" i="36"/>
  <c r="I820" i="36"/>
  <c r="I512" i="36"/>
  <c r="I401" i="36"/>
  <c r="I716" i="36"/>
  <c r="I597" i="36"/>
  <c r="I757" i="36"/>
  <c r="I760" i="36"/>
  <c r="I557" i="36"/>
  <c r="I572" i="36"/>
  <c r="I832" i="36"/>
  <c r="I582" i="36"/>
  <c r="I758" i="36"/>
  <c r="I461" i="36"/>
  <c r="I830" i="36"/>
  <c r="I542" i="36"/>
  <c r="I739" i="36"/>
  <c r="I546" i="36"/>
  <c r="I734" i="36"/>
  <c r="I718" i="36"/>
  <c r="I452" i="36"/>
  <c r="I762" i="36"/>
  <c r="I665" i="36"/>
  <c r="I384" i="36"/>
  <c r="I610" i="36"/>
  <c r="I62" i="36"/>
  <c r="I362" i="36"/>
  <c r="I256" i="36"/>
  <c r="I134" i="36"/>
  <c r="I205" i="36"/>
  <c r="I249" i="36"/>
  <c r="I224" i="36"/>
  <c r="I18" i="36"/>
  <c r="I181" i="36"/>
  <c r="I311" i="36"/>
  <c r="I254" i="36"/>
  <c r="I247" i="36"/>
  <c r="I264" i="36"/>
  <c r="I120" i="36"/>
  <c r="I41" i="36"/>
  <c r="I85" i="36"/>
  <c r="I310" i="36"/>
  <c r="I230" i="36"/>
  <c r="I361" i="36"/>
  <c r="I159" i="36"/>
  <c r="I287" i="36"/>
  <c r="I322" i="36"/>
  <c r="I235" i="36"/>
  <c r="I17" i="36"/>
  <c r="I251" i="36"/>
  <c r="I261" i="36"/>
  <c r="I296" i="36"/>
  <c r="I201" i="36"/>
  <c r="I275" i="36"/>
  <c r="I24" i="36"/>
  <c r="I371" i="36"/>
  <c r="I216" i="36"/>
  <c r="I237" i="36"/>
  <c r="I144" i="36"/>
  <c r="I265" i="36"/>
  <c r="I228" i="36"/>
  <c r="I89" i="36"/>
  <c r="I232" i="36"/>
  <c r="I96" i="36"/>
  <c r="I266" i="36"/>
  <c r="I258" i="36"/>
  <c r="I348" i="36"/>
  <c r="I191" i="36"/>
  <c r="I756" i="36"/>
  <c r="I555" i="36"/>
  <c r="I724" i="36"/>
  <c r="I495" i="36"/>
  <c r="I666" i="36"/>
  <c r="I617" i="36"/>
  <c r="I386" i="36"/>
  <c r="I720" i="36"/>
  <c r="I530" i="36"/>
  <c r="I491" i="36"/>
  <c r="I729" i="36"/>
  <c r="I468" i="36"/>
  <c r="I741" i="36"/>
  <c r="I834" i="36"/>
  <c r="I772" i="36"/>
  <c r="I638" i="36"/>
  <c r="I814" i="36"/>
  <c r="I405" i="36"/>
  <c r="I675" i="36"/>
  <c r="I715" i="36"/>
  <c r="I646" i="36"/>
  <c r="I711" i="36"/>
  <c r="I723" i="36"/>
  <c r="I476" i="36"/>
  <c r="I633" i="36"/>
  <c r="I689" i="36"/>
  <c r="I605" i="36"/>
  <c r="I496" i="36"/>
  <c r="I514" i="36"/>
  <c r="I601" i="36"/>
  <c r="I774" i="36"/>
  <c r="I704" i="36"/>
  <c r="I465" i="36"/>
  <c r="I635" i="36"/>
  <c r="I527" i="36"/>
  <c r="I409" i="36"/>
  <c r="I822" i="36"/>
  <c r="I589" i="36"/>
  <c r="I640" i="36"/>
  <c r="I742" i="36"/>
  <c r="I391" i="36"/>
  <c r="I389" i="36"/>
  <c r="I407" i="36"/>
  <c r="I379" i="36"/>
  <c r="I669" i="36"/>
  <c r="I428" i="36"/>
  <c r="I456" i="36"/>
  <c r="I430" i="36"/>
  <c r="I641" i="36"/>
  <c r="I539" i="36"/>
  <c r="I457" i="36"/>
  <c r="I586" i="36"/>
  <c r="I717" i="36"/>
  <c r="I768" i="36"/>
  <c r="I441" i="36"/>
  <c r="I721" i="36"/>
  <c r="I685" i="36"/>
  <c r="I701" i="36"/>
  <c r="I632" i="36"/>
  <c r="I382" i="36"/>
  <c r="I828" i="36"/>
  <c r="I421" i="36"/>
  <c r="I532" i="36"/>
  <c r="I662" i="36"/>
  <c r="I446" i="36"/>
  <c r="I655" i="36"/>
  <c r="I419" i="36"/>
  <c r="I667" i="36"/>
  <c r="I732" i="36"/>
  <c r="I745" i="36"/>
  <c r="I4" i="36"/>
  <c r="E288" i="36"/>
  <c r="E279" i="36"/>
  <c r="E250" i="36"/>
  <c r="E462" i="36"/>
  <c r="E615" i="36"/>
  <c r="E770" i="36"/>
  <c r="E448" i="36"/>
  <c r="E450" i="36"/>
  <c r="E487" i="36"/>
  <c r="E463" i="36"/>
  <c r="E466" i="36"/>
  <c r="E599" i="36"/>
  <c r="E538" i="36"/>
  <c r="E274" i="36"/>
  <c r="E439" i="36"/>
  <c r="E730" i="36"/>
  <c r="E722" i="36"/>
  <c r="E244" i="36"/>
  <c r="E368" i="36"/>
  <c r="E323" i="36"/>
  <c r="E262" i="36"/>
  <c r="E34" i="36"/>
  <c r="E298" i="36"/>
  <c r="E225" i="36"/>
  <c r="E263" i="36"/>
  <c r="E372" i="36"/>
  <c r="E510" i="36"/>
  <c r="E603" i="36"/>
  <c r="E447" i="36"/>
  <c r="E714" i="36"/>
  <c r="E776" i="36"/>
  <c r="E565" i="36"/>
  <c r="E584" i="36"/>
  <c r="E657" i="36"/>
  <c r="E728" i="36"/>
  <c r="E497" i="36"/>
  <c r="E607" i="36"/>
  <c r="E435" i="36"/>
  <c r="E764" i="36"/>
  <c r="E592" i="36"/>
  <c r="E548" i="36"/>
  <c r="E220" i="36"/>
  <c r="E534" i="36"/>
  <c r="E449" i="36"/>
  <c r="E650" i="36"/>
  <c r="E840" i="36"/>
  <c r="E547" i="36"/>
  <c r="E691" i="36"/>
  <c r="E573" i="36"/>
  <c r="E761" i="36"/>
  <c r="E580" i="36"/>
  <c r="E438" i="36"/>
  <c r="E648" i="36"/>
  <c r="E727" i="36"/>
  <c r="E744" i="36"/>
  <c r="E707" i="36"/>
  <c r="E619" i="36"/>
  <c r="E645" i="36"/>
  <c r="E659" i="36"/>
  <c r="E403" i="36"/>
  <c r="E492" i="36"/>
  <c r="E233" i="36"/>
  <c r="E221" i="36"/>
  <c r="E270" i="36"/>
  <c r="E252" i="36"/>
  <c r="E183" i="36"/>
  <c r="E214" i="36"/>
  <c r="E276" i="36"/>
  <c r="E333" i="36"/>
  <c r="E166" i="36"/>
  <c r="E280" i="36"/>
  <c r="E500" i="36"/>
  <c r="E604" i="36"/>
  <c r="E681" i="36"/>
  <c r="E271" i="36"/>
  <c r="E303" i="36"/>
  <c r="E226" i="36"/>
  <c r="E383" i="36"/>
  <c r="E464" i="36"/>
  <c r="E673" i="36"/>
  <c r="E663" i="36"/>
  <c r="E388" i="36"/>
  <c r="E713" i="36"/>
  <c r="E445" i="36"/>
  <c r="E719" i="36"/>
  <c r="E290" i="36"/>
  <c r="E485" i="36"/>
  <c r="E524" i="36"/>
  <c r="E418" i="36"/>
  <c r="E349" i="36"/>
  <c r="E238" i="36"/>
  <c r="E374" i="36"/>
  <c r="E340" i="36"/>
  <c r="E313" i="36"/>
  <c r="E198" i="36"/>
  <c r="E208" i="36"/>
  <c r="E320" i="36"/>
  <c r="E790" i="36"/>
  <c r="E769" i="36"/>
  <c r="E683" i="36"/>
  <c r="E651" i="36"/>
  <c r="E521" i="36"/>
  <c r="E731" i="36"/>
  <c r="E436" i="36"/>
  <c r="E508" i="36"/>
  <c r="E433" i="36"/>
  <c r="E518" i="36"/>
  <c r="E712" i="36"/>
  <c r="E588" i="36"/>
  <c r="E499" i="36"/>
  <c r="E318" i="36"/>
  <c r="E398" i="36"/>
  <c r="E614" i="36"/>
  <c r="E725" i="36"/>
  <c r="E639" i="36"/>
  <c r="E488" i="36"/>
  <c r="E598" i="36"/>
  <c r="E533" i="36"/>
  <c r="E710" i="36"/>
  <c r="E649" i="36"/>
  <c r="E486" i="36"/>
  <c r="E564" i="36"/>
  <c r="E752" i="36"/>
  <c r="E612" i="36"/>
  <c r="E268" i="36"/>
  <c r="E342" i="36"/>
  <c r="E273" i="36"/>
  <c r="E282" i="36"/>
  <c r="E155" i="36"/>
  <c r="E152" i="36"/>
  <c r="E16" i="36"/>
  <c r="E234" i="36"/>
  <c r="E305" i="36"/>
  <c r="E286" i="36"/>
  <c r="E459" i="36"/>
  <c r="E585" i="36"/>
  <c r="E671" i="36"/>
  <c r="E726" i="36"/>
  <c r="E824" i="36"/>
  <c r="E426" i="36"/>
  <c r="E322" i="36"/>
  <c r="E495" i="36"/>
  <c r="E530" i="36"/>
  <c r="E711" i="36"/>
  <c r="E514" i="36"/>
  <c r="E391" i="36"/>
  <c r="E467" i="36"/>
  <c r="E618" i="36"/>
  <c r="E483" i="36"/>
  <c r="E460" i="36"/>
  <c r="E458" i="36"/>
  <c r="E512" i="36"/>
  <c r="E757" i="36"/>
  <c r="E529" i="36"/>
  <c r="E718" i="36"/>
  <c r="E665" i="36"/>
  <c r="E384" i="36"/>
  <c r="E224" i="36"/>
  <c r="E18" i="36"/>
  <c r="E181" i="36"/>
  <c r="E254" i="36"/>
  <c r="E85" i="36"/>
  <c r="E230" i="36"/>
  <c r="E361" i="36"/>
  <c r="E261" i="36"/>
  <c r="E201" i="36"/>
  <c r="E237" i="36"/>
  <c r="E89" i="36"/>
  <c r="E96" i="36"/>
  <c r="E348" i="36"/>
  <c r="E555" i="36"/>
  <c r="E386" i="36"/>
  <c r="E720" i="36"/>
  <c r="E729" i="36"/>
  <c r="E675" i="36"/>
  <c r="E723" i="36"/>
  <c r="E496" i="36"/>
  <c r="E601" i="36"/>
  <c r="E389" i="36"/>
  <c r="E669" i="36"/>
  <c r="E641" i="36"/>
  <c r="E717" i="36"/>
  <c r="E768" i="36"/>
  <c r="E721" i="36"/>
  <c r="E632" i="36"/>
  <c r="E631" i="36"/>
  <c r="E762" i="36"/>
  <c r="E407" i="36"/>
  <c r="E456" i="36"/>
  <c r="E457" i="36"/>
  <c r="E441" i="36"/>
  <c r="E437" i="36"/>
  <c r="E680" i="36"/>
  <c r="E440" i="36"/>
  <c r="E716" i="36"/>
  <c r="E611" i="36"/>
  <c r="E760" i="36"/>
  <c r="E557" i="36"/>
  <c r="E572" i="36"/>
  <c r="E461" i="36"/>
  <c r="E256" i="36"/>
  <c r="E311" i="36"/>
  <c r="E310" i="36"/>
  <c r="E235" i="36"/>
  <c r="E296" i="36"/>
  <c r="E275" i="36"/>
  <c r="E144" i="36"/>
  <c r="E265" i="36"/>
  <c r="E232" i="36"/>
  <c r="E266" i="36"/>
  <c r="E258" i="36"/>
  <c r="E724" i="36"/>
  <c r="E772" i="36"/>
  <c r="E638" i="36"/>
  <c r="E405" i="36"/>
  <c r="E715" i="36"/>
  <c r="E689" i="36"/>
  <c r="E465" i="36"/>
  <c r="E640" i="36"/>
  <c r="E428" i="36"/>
  <c r="E430" i="36"/>
  <c r="E586" i="36"/>
  <c r="E382" i="36"/>
  <c r="E828" i="36"/>
  <c r="E446" i="36"/>
  <c r="E419" i="36"/>
  <c r="I25" i="36" l="1"/>
  <c r="I190" i="36"/>
  <c r="I104" i="36"/>
  <c r="I142" i="36"/>
  <c r="I347" i="36"/>
  <c r="I163" i="36"/>
  <c r="I15" i="36"/>
  <c r="I116" i="36"/>
  <c r="I101" i="36"/>
  <c r="I118" i="36"/>
  <c r="I13" i="36"/>
  <c r="I40" i="36"/>
  <c r="I33" i="36"/>
  <c r="I779" i="36"/>
  <c r="I569" i="36"/>
  <c r="I422" i="36"/>
  <c r="I184" i="36"/>
  <c r="I373" i="36"/>
  <c r="I327" i="36"/>
  <c r="I356" i="36"/>
  <c r="I110" i="36"/>
  <c r="I127" i="36"/>
  <c r="I123" i="36"/>
  <c r="I168" i="36"/>
  <c r="I182" i="36"/>
  <c r="I165" i="36"/>
  <c r="I325" i="36"/>
  <c r="I21" i="36"/>
  <c r="I179" i="36"/>
  <c r="I78" i="36"/>
  <c r="I145" i="36"/>
  <c r="I93" i="36"/>
  <c r="I343" i="36"/>
  <c r="I227" i="36"/>
  <c r="I331" i="36"/>
  <c r="I351" i="36"/>
  <c r="I175" i="36"/>
  <c r="I153" i="36"/>
  <c r="I319" i="36"/>
  <c r="I64" i="36"/>
  <c r="I76" i="36"/>
  <c r="I285" i="36"/>
  <c r="I31" i="36"/>
  <c r="I99" i="36"/>
  <c r="I240" i="36"/>
  <c r="I80" i="36"/>
  <c r="I128" i="36"/>
  <c r="I151" i="36"/>
  <c r="I170" i="36"/>
  <c r="I20" i="36"/>
  <c r="I106" i="36"/>
  <c r="I366" i="36"/>
  <c r="I98" i="36"/>
  <c r="I95" i="36"/>
  <c r="I84" i="36"/>
  <c r="I75" i="36"/>
  <c r="I60" i="36"/>
  <c r="I77" i="36"/>
  <c r="I54" i="36"/>
  <c r="I369" i="36"/>
  <c r="I126" i="36"/>
  <c r="I130" i="36"/>
  <c r="I112" i="36"/>
  <c r="I56" i="36"/>
  <c r="I149" i="36"/>
  <c r="I23" i="36"/>
  <c r="I51" i="36"/>
  <c r="I71" i="36"/>
  <c r="I53" i="36"/>
  <c r="I540" i="36"/>
  <c r="I763" i="36"/>
  <c r="I817" i="36"/>
  <c r="I784" i="36"/>
  <c r="I796" i="36"/>
  <c r="I735" i="36"/>
  <c r="I833" i="36"/>
  <c r="I751" i="36"/>
  <c r="I479" i="36"/>
  <c r="I767" i="36"/>
  <c r="I380" i="36"/>
  <c r="I536" i="36"/>
  <c r="I415" i="36"/>
  <c r="I808" i="36"/>
  <c r="I526" i="36"/>
  <c r="I551" i="36"/>
  <c r="I469" i="36"/>
  <c r="I793" i="36"/>
  <c r="I653" i="36"/>
  <c r="I537" i="36"/>
  <c r="I472" i="36"/>
  <c r="I558" i="36"/>
  <c r="I484" i="36"/>
  <c r="I813" i="36"/>
  <c r="I811" i="36"/>
  <c r="I541" i="36"/>
  <c r="I454" i="36"/>
  <c r="I502" i="36"/>
  <c r="I579" i="36"/>
  <c r="I786" i="36"/>
  <c r="I396" i="36"/>
  <c r="I807" i="36"/>
  <c r="I583" i="36"/>
  <c r="I620" i="36"/>
  <c r="I676" i="36"/>
  <c r="I525" i="36"/>
  <c r="I831" i="36"/>
  <c r="I559" i="36"/>
  <c r="I562" i="36"/>
  <c r="I686" i="36"/>
  <c r="I623" i="36"/>
  <c r="I556" i="36"/>
  <c r="I815" i="36"/>
  <c r="I567" i="36"/>
  <c r="I563" i="36"/>
  <c r="I661" i="36"/>
  <c r="I801" i="36"/>
  <c r="I616" i="36"/>
  <c r="I829" i="36"/>
  <c r="I810" i="36"/>
  <c r="I39" i="36"/>
  <c r="I209" i="36"/>
  <c r="I87" i="36"/>
  <c r="I223" i="36"/>
  <c r="I299" i="36"/>
  <c r="I339" i="36"/>
  <c r="I72" i="36"/>
  <c r="I5" i="36"/>
  <c r="I28" i="36"/>
  <c r="I186" i="36"/>
  <c r="I189" i="36"/>
  <c r="I65" i="36"/>
  <c r="I346" i="36"/>
  <c r="I102" i="36"/>
  <c r="I694" i="36"/>
  <c r="I489" i="36"/>
  <c r="I345" i="36"/>
  <c r="I100" i="36"/>
  <c r="I177" i="36"/>
  <c r="I289" i="36"/>
  <c r="I73" i="36"/>
  <c r="I105" i="36"/>
  <c r="I206" i="36"/>
  <c r="I11" i="36"/>
  <c r="I141" i="36"/>
  <c r="I326" i="36"/>
  <c r="I215" i="36"/>
  <c r="I295" i="36"/>
  <c r="I8" i="36"/>
  <c r="I352" i="36"/>
  <c r="I308" i="36"/>
  <c r="I241" i="36"/>
  <c r="I277" i="36"/>
  <c r="I188" i="36"/>
  <c r="I312" i="36"/>
  <c r="I365" i="36"/>
  <c r="I353" i="36"/>
  <c r="I67" i="36"/>
  <c r="I137" i="36"/>
  <c r="I377" i="36"/>
  <c r="I43" i="36"/>
  <c r="I169" i="36"/>
  <c r="I350" i="36"/>
  <c r="I86" i="36"/>
  <c r="I66" i="36"/>
  <c r="I375" i="36"/>
  <c r="I239" i="36"/>
  <c r="I82" i="36"/>
  <c r="I156" i="36"/>
  <c r="I22" i="36"/>
  <c r="I336" i="36"/>
  <c r="I211" i="36"/>
  <c r="I338" i="36"/>
  <c r="I304" i="36"/>
  <c r="I55" i="36"/>
  <c r="I245" i="36"/>
  <c r="I203" i="36"/>
  <c r="I124" i="36"/>
  <c r="I357" i="36"/>
  <c r="I292" i="36"/>
  <c r="I315" i="36"/>
  <c r="I332" i="36"/>
  <c r="I195" i="36"/>
  <c r="I108" i="36"/>
  <c r="I210" i="36"/>
  <c r="I158" i="36"/>
  <c r="I283" i="36"/>
  <c r="I167" i="36"/>
  <c r="I81" i="36"/>
  <c r="I114" i="36"/>
  <c r="I139" i="36"/>
  <c r="I317" i="36"/>
  <c r="I119" i="36"/>
  <c r="I337" i="36"/>
  <c r="I36" i="36"/>
  <c r="I26" i="36"/>
  <c r="I29" i="36"/>
  <c r="I161" i="36"/>
  <c r="I52" i="36"/>
  <c r="I162" i="36"/>
  <c r="I70" i="36"/>
  <c r="I381" i="36"/>
  <c r="I785" i="36"/>
  <c r="I490" i="36"/>
  <c r="I423" i="36"/>
  <c r="I561" i="36"/>
  <c r="I782" i="36"/>
  <c r="I800" i="36"/>
  <c r="I493" i="36"/>
  <c r="I629" i="36"/>
  <c r="I498" i="36"/>
  <c r="I431" i="36"/>
  <c r="I520" i="36"/>
  <c r="I823" i="36"/>
  <c r="I575" i="36"/>
  <c r="I690" i="36"/>
  <c r="I504" i="36"/>
  <c r="I531" i="36"/>
  <c r="I535" i="36"/>
  <c r="I397" i="36"/>
  <c r="I805" i="36"/>
  <c r="I771" i="36"/>
  <c r="I788" i="36"/>
  <c r="I578" i="36"/>
  <c r="I392" i="36"/>
  <c r="I837" i="36"/>
  <c r="I754" i="36"/>
  <c r="I455" i="36"/>
  <c r="I775" i="36"/>
  <c r="I581" i="36"/>
  <c r="I505" i="36"/>
  <c r="I792" i="36"/>
  <c r="I412" i="36"/>
  <c r="I630" i="36"/>
  <c r="I477" i="36"/>
  <c r="I804" i="36"/>
  <c r="I773" i="36"/>
  <c r="I622" i="36"/>
  <c r="I217" i="36"/>
  <c r="I777" i="36"/>
  <c r="I821" i="36"/>
  <c r="I9" i="36"/>
  <c r="I193" i="36"/>
  <c r="I117" i="36"/>
  <c r="I135" i="36"/>
  <c r="I10" i="36"/>
  <c r="I242" i="36"/>
  <c r="I174" i="36"/>
  <c r="I260" i="36"/>
  <c r="I376" i="36"/>
  <c r="I364" i="36"/>
  <c r="I334" i="36"/>
  <c r="I83" i="36"/>
  <c r="I341" i="36"/>
  <c r="I74" i="36"/>
  <c r="I503" i="36"/>
  <c r="I172" i="36"/>
  <c r="I328" i="36"/>
  <c r="I42" i="36"/>
  <c r="I63" i="36"/>
  <c r="I307" i="36"/>
  <c r="I219" i="36"/>
  <c r="I300" i="36"/>
  <c r="I222" i="36"/>
  <c r="I147" i="36"/>
  <c r="I197" i="36"/>
  <c r="I136" i="36"/>
  <c r="I154" i="36"/>
  <c r="I150" i="36"/>
  <c r="I363" i="36"/>
  <c r="I267" i="36"/>
  <c r="I316" i="36"/>
  <c r="I47" i="36"/>
  <c r="I321" i="36"/>
  <c r="I129" i="36"/>
  <c r="I200" i="36"/>
  <c r="I329" i="36"/>
  <c r="I45" i="36"/>
  <c r="I61" i="36"/>
  <c r="I58" i="36"/>
  <c r="I138" i="36"/>
  <c r="I44" i="36"/>
  <c r="I69" i="36"/>
  <c r="I236" i="36"/>
  <c r="I324" i="36"/>
  <c r="I335" i="36"/>
  <c r="I19" i="36"/>
  <c r="I218" i="36"/>
  <c r="I113" i="36"/>
  <c r="I14" i="36"/>
  <c r="I6" i="36"/>
  <c r="I272" i="36"/>
  <c r="I50" i="36"/>
  <c r="I176" i="36"/>
  <c r="I133" i="36"/>
  <c r="I132" i="36"/>
  <c r="I301" i="36"/>
  <c r="I196" i="36"/>
  <c r="I125" i="36"/>
  <c r="I212" i="36"/>
  <c r="I146" i="36"/>
  <c r="I91" i="36"/>
  <c r="I46" i="36"/>
  <c r="I30" i="36"/>
  <c r="I157" i="36"/>
  <c r="I302" i="36"/>
  <c r="I115" i="36"/>
  <c r="I121" i="36"/>
  <c r="I49" i="36"/>
  <c r="I107" i="36"/>
  <c r="I122" i="36"/>
  <c r="I88" i="36"/>
  <c r="I48" i="36"/>
  <c r="I38" i="36"/>
  <c r="I109" i="36"/>
  <c r="I140" i="36"/>
  <c r="I94" i="36"/>
  <c r="I624" i="36"/>
  <c r="I475" i="36"/>
  <c r="I841" i="36"/>
  <c r="I506" i="36"/>
  <c r="I672" i="36"/>
  <c r="I571" i="36"/>
  <c r="I519" i="36"/>
  <c r="I738" i="36"/>
  <c r="I400" i="36"/>
  <c r="I684" i="36"/>
  <c r="I574" i="36"/>
  <c r="I553" i="36"/>
  <c r="I652" i="36"/>
  <c r="I517" i="36"/>
  <c r="I560" i="36"/>
  <c r="I523" i="36"/>
  <c r="I791" i="36"/>
  <c r="I404" i="36"/>
  <c r="I780" i="36"/>
  <c r="I451" i="36"/>
  <c r="I414" i="36"/>
  <c r="I577" i="36"/>
  <c r="I390" i="36"/>
  <c r="I627" i="36"/>
  <c r="I748" i="36"/>
  <c r="I626" i="36"/>
  <c r="I413" i="36"/>
  <c r="I453" i="36"/>
  <c r="I482" i="36"/>
  <c r="I759" i="36"/>
  <c r="I478" i="36"/>
  <c r="I406" i="36"/>
  <c r="I402" i="36"/>
  <c r="I803" i="36"/>
  <c r="I544" i="36"/>
  <c r="I802" i="36"/>
  <c r="I636" i="36"/>
  <c r="I819" i="36"/>
  <c r="I507" i="36"/>
  <c r="I470" i="36"/>
  <c r="I628" i="36"/>
  <c r="I839" i="36"/>
  <c r="I668" i="36"/>
  <c r="I416" i="36"/>
  <c r="I827" i="36"/>
  <c r="I554" i="36"/>
  <c r="I570" i="36"/>
  <c r="I783" i="36"/>
  <c r="I522" i="36"/>
  <c r="I746" i="36"/>
  <c r="I90" i="36"/>
  <c r="I284" i="36"/>
  <c r="I79" i="36"/>
  <c r="I229" i="36"/>
  <c r="I246" i="36"/>
  <c r="I306" i="36"/>
  <c r="I314" i="36"/>
  <c r="I231" i="36"/>
  <c r="I281" i="36"/>
  <c r="I164" i="36"/>
  <c r="I12" i="36"/>
  <c r="I59" i="36"/>
  <c r="I68" i="36"/>
  <c r="I194" i="36"/>
  <c r="I37" i="36"/>
  <c r="I131" i="36"/>
  <c r="I143" i="36"/>
  <c r="I778" i="36"/>
  <c r="I806" i="36"/>
  <c r="I696" i="36"/>
  <c r="I799" i="36"/>
  <c r="I417" i="36"/>
  <c r="I552" i="36"/>
  <c r="I399" i="36"/>
  <c r="I797" i="36"/>
  <c r="I634" i="36"/>
  <c r="I765" i="36"/>
  <c r="I474" i="36"/>
  <c r="I609" i="36"/>
  <c r="I516" i="36"/>
  <c r="I434" i="36"/>
  <c r="I566" i="36"/>
  <c r="I795" i="36"/>
  <c r="I825" i="36"/>
  <c r="I644" i="36"/>
  <c r="I637" i="36"/>
  <c r="I809" i="36"/>
  <c r="I501" i="36"/>
  <c r="I743" i="36"/>
  <c r="I812" i="36"/>
  <c r="I549" i="36"/>
  <c r="I798" i="36"/>
  <c r="I408" i="36"/>
  <c r="I736" i="36"/>
  <c r="I471" i="36"/>
  <c r="I429" i="36"/>
  <c r="I568" i="36"/>
  <c r="I787" i="36"/>
  <c r="I550" i="36"/>
  <c r="I835" i="36"/>
  <c r="I576" i="36"/>
  <c r="I625" i="36"/>
  <c r="I794" i="36"/>
  <c r="I411" i="36"/>
  <c r="I545" i="36"/>
  <c r="I682" i="36"/>
  <c r="I698" i="36"/>
  <c r="E187" i="36"/>
  <c r="E104" i="36"/>
  <c r="E142" i="36"/>
  <c r="E347" i="36"/>
  <c r="E15" i="36"/>
  <c r="E116" i="36"/>
  <c r="E118" i="36"/>
  <c r="E33" i="36"/>
  <c r="E395" i="36"/>
  <c r="E779" i="36"/>
  <c r="E422" i="36"/>
  <c r="E373" i="36"/>
  <c r="E356" i="36"/>
  <c r="E110" i="36"/>
  <c r="E168" i="36"/>
  <c r="E182" i="36"/>
  <c r="E165" i="36"/>
  <c r="E248" i="36"/>
  <c r="E370" i="36"/>
  <c r="E325" i="36"/>
  <c r="E179" i="36"/>
  <c r="E78" i="36"/>
  <c r="E145" i="36"/>
  <c r="E259" i="36"/>
  <c r="E294" i="36"/>
  <c r="E227" i="36"/>
  <c r="E76" i="36"/>
  <c r="E285" i="36"/>
  <c r="E31" i="36"/>
  <c r="E99" i="36"/>
  <c r="E240" i="36"/>
  <c r="E80" i="36"/>
  <c r="E128" i="36"/>
  <c r="E170" i="36"/>
  <c r="E20" i="36"/>
  <c r="E366" i="36"/>
  <c r="E75" i="36"/>
  <c r="E77" i="36"/>
  <c r="E130" i="36"/>
  <c r="E56" i="36"/>
  <c r="E149" i="36"/>
  <c r="E51" i="36"/>
  <c r="E71" i="36"/>
  <c r="E704" i="36"/>
  <c r="E763" i="36"/>
  <c r="E527" i="36"/>
  <c r="E817" i="36"/>
  <c r="E796" i="36"/>
  <c r="E735" i="36"/>
  <c r="E833" i="36"/>
  <c r="E479" i="36"/>
  <c r="E380" i="36"/>
  <c r="E667" i="36"/>
  <c r="E536" i="36"/>
  <c r="E674" i="36"/>
  <c r="E595" i="36"/>
  <c r="E658" i="36"/>
  <c r="E387" i="36"/>
  <c r="E526" i="36"/>
  <c r="E594" i="36"/>
  <c r="E653" i="36"/>
  <c r="E537" i="36"/>
  <c r="E546" i="36"/>
  <c r="E473" i="36"/>
  <c r="E647" i="36"/>
  <c r="E532" i="36"/>
  <c r="E541" i="36"/>
  <c r="E502" i="36"/>
  <c r="E706" i="36"/>
  <c r="E396" i="36"/>
  <c r="E620" i="36"/>
  <c r="E525" i="36"/>
  <c r="E410" i="36"/>
  <c r="E425" i="36"/>
  <c r="E679" i="36"/>
  <c r="E511" i="36"/>
  <c r="E556" i="36"/>
  <c r="E661" i="36"/>
  <c r="E801" i="36"/>
  <c r="E829" i="36"/>
  <c r="E393" i="36"/>
  <c r="E39" i="36"/>
  <c r="E209" i="36"/>
  <c r="E134" i="36"/>
  <c r="E299" i="36"/>
  <c r="E339" i="36"/>
  <c r="E72" i="36"/>
  <c r="E102" i="36"/>
  <c r="E818" i="36"/>
  <c r="E443" i="36"/>
  <c r="E739" i="36"/>
  <c r="E177" i="36"/>
  <c r="E289" i="36"/>
  <c r="E24" i="36"/>
  <c r="E206" i="36"/>
  <c r="E141" i="36"/>
  <c r="E8" i="36"/>
  <c r="E17" i="36"/>
  <c r="E352" i="36"/>
  <c r="E188" i="36"/>
  <c r="E312" i="36"/>
  <c r="E243" i="36"/>
  <c r="E353" i="36"/>
  <c r="E137" i="36"/>
  <c r="E377" i="36"/>
  <c r="E43" i="36"/>
  <c r="E350" i="36"/>
  <c r="E86" i="36"/>
  <c r="E66" i="36"/>
  <c r="E156" i="36"/>
  <c r="E22" i="36"/>
  <c r="E211" i="36"/>
  <c r="E245" i="36"/>
  <c r="E205" i="36"/>
  <c r="E292" i="36"/>
  <c r="E332" i="36"/>
  <c r="E354" i="36"/>
  <c r="E111" i="36"/>
  <c r="E167" i="36"/>
  <c r="E139" i="36"/>
  <c r="E330" i="36"/>
  <c r="E36" i="36"/>
  <c r="E161" i="36"/>
  <c r="E52" i="36"/>
  <c r="E70" i="36"/>
  <c r="E785" i="36"/>
  <c r="E662" i="36"/>
  <c r="E561" i="36"/>
  <c r="E800" i="36"/>
  <c r="E629" i="36"/>
  <c r="E666" i="36"/>
  <c r="E816" i="36"/>
  <c r="E805" i="36"/>
  <c r="E685" i="36"/>
  <c r="E771" i="36"/>
  <c r="E749" i="36"/>
  <c r="E392" i="36"/>
  <c r="E733" i="36"/>
  <c r="E581" i="36"/>
  <c r="E608" i="36"/>
  <c r="E792" i="36"/>
  <c r="E589" i="36"/>
  <c r="E477" i="36"/>
  <c r="E773" i="36"/>
  <c r="E217" i="36"/>
  <c r="E777" i="36"/>
  <c r="E432" i="36"/>
  <c r="E9" i="36"/>
  <c r="E117" i="36"/>
  <c r="E10" i="36"/>
  <c r="E174" i="36"/>
  <c r="E83" i="36"/>
  <c r="E74" i="36"/>
  <c r="E703" i="36"/>
  <c r="E409" i="36"/>
  <c r="E656" i="36"/>
  <c r="E172" i="36"/>
  <c r="E219" i="36"/>
  <c r="E222" i="36"/>
  <c r="E147" i="36"/>
  <c r="E136" i="36"/>
  <c r="E154" i="36"/>
  <c r="E363" i="36"/>
  <c r="E316" i="36"/>
  <c r="E47" i="36"/>
  <c r="E129" i="36"/>
  <c r="E329" i="36"/>
  <c r="E138" i="36"/>
  <c r="E69" i="36"/>
  <c r="E236" i="36"/>
  <c r="E19" i="36"/>
  <c r="E113" i="36"/>
  <c r="E6" i="36"/>
  <c r="E50" i="36"/>
  <c r="E176" i="36"/>
  <c r="E132" i="36"/>
  <c r="E196" i="36"/>
  <c r="E180" i="36"/>
  <c r="E157" i="36"/>
  <c r="E291" i="36"/>
  <c r="E115" i="36"/>
  <c r="E107" i="36"/>
  <c r="E122" i="36"/>
  <c r="E88" i="36"/>
  <c r="E120" i="36"/>
  <c r="E178" i="36"/>
  <c r="E171" i="36"/>
  <c r="E94" i="36"/>
  <c r="E494" i="36"/>
  <c r="E841" i="36"/>
  <c r="E672" i="36"/>
  <c r="E571" i="36"/>
  <c r="E832" i="36"/>
  <c r="E688" i="36"/>
  <c r="E574" i="36"/>
  <c r="E517" i="36"/>
  <c r="E523" i="36"/>
  <c r="E468" i="36"/>
  <c r="E780" i="36"/>
  <c r="E774" i="36"/>
  <c r="E414" i="36"/>
  <c r="E577" i="36"/>
  <c r="E627" i="36"/>
  <c r="E748" i="36"/>
  <c r="E781" i="36"/>
  <c r="E600" i="36"/>
  <c r="E453" i="36"/>
  <c r="E753" i="36"/>
  <c r="E789" i="36"/>
  <c r="E515" i="36"/>
  <c r="E406" i="36"/>
  <c r="E699" i="36"/>
  <c r="E814" i="36"/>
  <c r="E803" i="36"/>
  <c r="E394" i="36"/>
  <c r="E636" i="36"/>
  <c r="E819" i="36"/>
  <c r="E470" i="36"/>
  <c r="E628" i="36"/>
  <c r="E668" i="36"/>
  <c r="E827" i="36"/>
  <c r="E746" i="36"/>
  <c r="E90" i="36"/>
  <c r="E284" i="36"/>
  <c r="E229" i="36"/>
  <c r="E306" i="36"/>
  <c r="E164" i="36"/>
  <c r="E59" i="36"/>
  <c r="E131" i="36"/>
  <c r="E778" i="36"/>
  <c r="E696" i="36"/>
  <c r="E417" i="36"/>
  <c r="E797" i="36"/>
  <c r="E609" i="36"/>
  <c r="E566" i="36"/>
  <c r="E695" i="36"/>
  <c r="E825" i="36"/>
  <c r="E593" i="36"/>
  <c r="E809" i="36"/>
  <c r="E812" i="36"/>
  <c r="E798" i="36"/>
  <c r="E408" i="36"/>
  <c r="E709" i="36"/>
  <c r="E401" i="36"/>
  <c r="E702" i="36"/>
  <c r="E568" i="36"/>
  <c r="E787" i="36"/>
  <c r="E576" i="36"/>
  <c r="E625" i="36"/>
  <c r="E411" i="36"/>
  <c r="E682" i="36"/>
  <c r="E734" i="36"/>
  <c r="E148" i="36"/>
  <c r="E838" i="36"/>
  <c r="E590" i="36"/>
  <c r="E802" i="36"/>
  <c r="E185" i="36"/>
  <c r="E143" i="36"/>
  <c r="E474" i="36"/>
  <c r="E820" i="36"/>
  <c r="E794" i="36"/>
  <c r="E351" i="36"/>
  <c r="E57" i="36"/>
  <c r="E175" i="36"/>
  <c r="E95" i="36"/>
  <c r="E297" i="36"/>
  <c r="E23" i="36"/>
  <c r="E551" i="36"/>
  <c r="E452" i="36"/>
  <c r="E542" i="36"/>
  <c r="E807" i="36"/>
  <c r="E559" i="36"/>
  <c r="E562" i="36"/>
  <c r="E444" i="36"/>
  <c r="E567" i="36"/>
  <c r="E186" i="36"/>
  <c r="E4" i="36"/>
  <c r="E346" i="36"/>
  <c r="E215" i="36"/>
  <c r="E253" i="36"/>
  <c r="E239" i="36"/>
  <c r="E338" i="36"/>
  <c r="E367" i="36"/>
  <c r="E203" i="36"/>
  <c r="E210" i="36"/>
  <c r="E283" i="36"/>
  <c r="E317" i="36"/>
  <c r="E119" i="36"/>
  <c r="E29" i="36"/>
  <c r="E423" i="36"/>
  <c r="E498" i="36"/>
  <c r="E431" i="36"/>
  <c r="E823" i="36"/>
  <c r="E834" i="36"/>
  <c r="E535" i="36"/>
  <c r="E455" i="36"/>
  <c r="E775" i="36"/>
  <c r="E242" i="36"/>
  <c r="E260" i="36"/>
  <c r="E364" i="36"/>
  <c r="E63" i="36"/>
  <c r="E249" i="36"/>
  <c r="E200" i="36"/>
  <c r="E61" i="36"/>
  <c r="E309" i="36"/>
  <c r="E212" i="36"/>
  <c r="E732" i="36"/>
  <c r="E482" i="36"/>
  <c r="E836" i="36"/>
  <c r="E402" i="36"/>
  <c r="E830" i="36"/>
  <c r="E783" i="36"/>
  <c r="E314" i="36"/>
  <c r="E32" i="36"/>
  <c r="E552" i="36"/>
  <c r="E634" i="36"/>
  <c r="E654" i="36"/>
  <c r="E434" i="36"/>
  <c r="E637" i="36"/>
  <c r="E476" i="36"/>
  <c r="E420" i="36"/>
  <c r="E267" i="36"/>
  <c r="E506" i="36"/>
  <c r="E738" i="36"/>
  <c r="E791" i="36"/>
  <c r="E759" i="36"/>
  <c r="E194" i="36"/>
  <c r="E25" i="36"/>
  <c r="E190" i="36"/>
  <c r="E355" i="36"/>
  <c r="E97" i="36"/>
  <c r="E163" i="36"/>
  <c r="E101" i="36"/>
  <c r="E13" i="36"/>
  <c r="E40" i="36"/>
  <c r="E606" i="36"/>
  <c r="E569" i="36"/>
  <c r="E184" i="36"/>
  <c r="E327" i="36"/>
  <c r="E251" i="36"/>
  <c r="E21" i="36"/>
  <c r="E216" i="36"/>
  <c r="E93" i="36"/>
  <c r="E153" i="36"/>
  <c r="E64" i="36"/>
  <c r="E362" i="36"/>
  <c r="E344" i="36"/>
  <c r="E106" i="36"/>
  <c r="E98" i="36"/>
  <c r="E84" i="36"/>
  <c r="E60" i="36"/>
  <c r="E173" i="36"/>
  <c r="E54" i="36"/>
  <c r="E369" i="36"/>
  <c r="E126" i="36"/>
  <c r="E112" i="36"/>
  <c r="E53" i="36"/>
  <c r="E540" i="36"/>
  <c r="E742" i="36"/>
  <c r="E642" i="36"/>
  <c r="E784" i="36"/>
  <c r="E767" i="36"/>
  <c r="E596" i="36"/>
  <c r="E660" i="36"/>
  <c r="E415" i="36"/>
  <c r="E613" i="36"/>
  <c r="E605" i="36"/>
  <c r="E469" i="36"/>
  <c r="E793" i="36"/>
  <c r="E472" i="36"/>
  <c r="E558" i="36"/>
  <c r="E813" i="36"/>
  <c r="E427" i="36"/>
  <c r="E811" i="36"/>
  <c r="E454" i="36"/>
  <c r="E579" i="36"/>
  <c r="E379" i="36"/>
  <c r="E831" i="36"/>
  <c r="E610" i="36"/>
  <c r="E686" i="36"/>
  <c r="E597" i="36"/>
  <c r="E617" i="36"/>
  <c r="E563" i="36"/>
  <c r="E635" i="36"/>
  <c r="E810" i="36"/>
  <c r="E826" i="36"/>
  <c r="E5" i="36"/>
  <c r="E28" i="36"/>
  <c r="E65" i="36"/>
  <c r="E27" i="36"/>
  <c r="E694" i="36"/>
  <c r="E591" i="36"/>
  <c r="E489" i="36"/>
  <c r="E345" i="36"/>
  <c r="E100" i="36"/>
  <c r="E73" i="36"/>
  <c r="E105" i="36"/>
  <c r="E11" i="36"/>
  <c r="E326" i="36"/>
  <c r="E295" i="36"/>
  <c r="E92" i="36"/>
  <c r="E308" i="36"/>
  <c r="E159" i="36"/>
  <c r="E241" i="36"/>
  <c r="E277" i="36"/>
  <c r="E192" i="36"/>
  <c r="E365" i="36"/>
  <c r="E67" i="36"/>
  <c r="E169" i="36"/>
  <c r="E82" i="36"/>
  <c r="E336" i="36"/>
  <c r="E304" i="36"/>
  <c r="E55" i="36"/>
  <c r="E371" i="36"/>
  <c r="E160" i="36"/>
  <c r="E124" i="36"/>
  <c r="E357" i="36"/>
  <c r="E315" i="36"/>
  <c r="E195" i="36"/>
  <c r="E287" i="36"/>
  <c r="E108" i="36"/>
  <c r="E158" i="36"/>
  <c r="E81" i="36"/>
  <c r="E114" i="36"/>
  <c r="E337" i="36"/>
  <c r="E35" i="36"/>
  <c r="E26" i="36"/>
  <c r="E162" i="36"/>
  <c r="E490" i="36"/>
  <c r="E737" i="36"/>
  <c r="E782" i="36"/>
  <c r="E493" i="36"/>
  <c r="E582" i="36"/>
  <c r="E701" i="36"/>
  <c r="E520" i="36"/>
  <c r="E575" i="36"/>
  <c r="E643" i="36"/>
  <c r="E513" i="36"/>
  <c r="E504" i="36"/>
  <c r="E531" i="36"/>
  <c r="E397" i="36"/>
  <c r="E755" i="36"/>
  <c r="E788" i="36"/>
  <c r="E837" i="36"/>
  <c r="E442" i="36"/>
  <c r="E745" i="36"/>
  <c r="E412" i="36"/>
  <c r="E630" i="36"/>
  <c r="E758" i="36"/>
  <c r="E804" i="36"/>
  <c r="E378" i="36"/>
  <c r="E622" i="36"/>
  <c r="E821" i="36"/>
  <c r="E677" i="36"/>
  <c r="E193" i="36"/>
  <c r="E358" i="36"/>
  <c r="E135" i="36"/>
  <c r="E228" i="36"/>
  <c r="E191" i="36"/>
  <c r="E376" i="36"/>
  <c r="E334" i="36"/>
  <c r="E341" i="36"/>
  <c r="E421" i="36"/>
  <c r="E328" i="36"/>
  <c r="E42" i="36"/>
  <c r="E307" i="36"/>
  <c r="E300" i="36"/>
  <c r="E197" i="36"/>
  <c r="E150" i="36"/>
  <c r="E321" i="36"/>
  <c r="E45" i="36"/>
  <c r="E58" i="36"/>
  <c r="E44" i="36"/>
  <c r="E202" i="36"/>
  <c r="E335" i="36"/>
  <c r="E278" i="36"/>
  <c r="E14" i="36"/>
  <c r="E272" i="36"/>
  <c r="E133" i="36"/>
  <c r="E301" i="36"/>
  <c r="E360" i="36"/>
  <c r="E125" i="36"/>
  <c r="E146" i="36"/>
  <c r="E91" i="36"/>
  <c r="E46" i="36"/>
  <c r="E30" i="36"/>
  <c r="E302" i="36"/>
  <c r="E121" i="36"/>
  <c r="E49" i="36"/>
  <c r="E7" i="36"/>
  <c r="E48" i="36"/>
  <c r="E38" i="36"/>
  <c r="E109" i="36"/>
  <c r="E140" i="36"/>
  <c r="E624" i="36"/>
  <c r="E475" i="36"/>
  <c r="E481" i="36"/>
  <c r="E539" i="36"/>
  <c r="E400" i="36"/>
  <c r="E684" i="36"/>
  <c r="E553" i="36"/>
  <c r="E652" i="36"/>
  <c r="E560" i="36"/>
  <c r="E756" i="36"/>
  <c r="E543" i="36"/>
  <c r="E404" i="36"/>
  <c r="E451" i="36"/>
  <c r="E633" i="36"/>
  <c r="E390" i="36"/>
  <c r="E413" i="36"/>
  <c r="E670" i="36"/>
  <c r="E766" i="36"/>
  <c r="E693" i="36"/>
  <c r="E478" i="36"/>
  <c r="E747" i="36"/>
  <c r="E587" i="36"/>
  <c r="E692" i="36"/>
  <c r="E544" i="36"/>
  <c r="E687" i="36"/>
  <c r="E424" i="36"/>
  <c r="E507" i="36"/>
  <c r="E509" i="36"/>
  <c r="E839" i="36"/>
  <c r="E741" i="36"/>
  <c r="E416" i="36"/>
  <c r="E554" i="36"/>
  <c r="E522" i="36"/>
  <c r="E204" i="36"/>
  <c r="E255" i="36"/>
  <c r="E79" i="36"/>
  <c r="E246" i="36"/>
  <c r="E269" i="36"/>
  <c r="E231" i="36"/>
  <c r="E281" i="36"/>
  <c r="E264" i="36"/>
  <c r="E12" i="36"/>
  <c r="E68" i="36"/>
  <c r="E37" i="36"/>
  <c r="E62" i="36"/>
  <c r="E806" i="36"/>
  <c r="E799" i="36"/>
  <c r="E697" i="36"/>
  <c r="E750" i="36"/>
  <c r="E765" i="36"/>
  <c r="E516" i="36"/>
  <c r="E822" i="36"/>
  <c r="E795" i="36"/>
  <c r="E705" i="36"/>
  <c r="E646" i="36"/>
  <c r="E644" i="36"/>
  <c r="E501" i="36"/>
  <c r="E549" i="36"/>
  <c r="E678" i="36"/>
  <c r="E528" i="36"/>
  <c r="E736" i="36"/>
  <c r="E429" i="36"/>
  <c r="E602" i="36"/>
  <c r="E621" i="36"/>
  <c r="E550" i="36"/>
  <c r="E835" i="36"/>
  <c r="E664" i="36"/>
  <c r="E655" i="36"/>
  <c r="E491" i="36"/>
  <c r="E545" i="36"/>
  <c r="E519" i="36"/>
  <c r="E626" i="36"/>
  <c r="E570" i="36"/>
  <c r="E127" i="36"/>
  <c r="E123" i="36"/>
  <c r="E207" i="36"/>
  <c r="E247" i="36"/>
  <c r="E343" i="36"/>
  <c r="E331" i="36"/>
  <c r="E319" i="36"/>
  <c r="E41" i="36"/>
  <c r="E151" i="36"/>
  <c r="E751" i="36"/>
  <c r="E740" i="36"/>
  <c r="E808" i="36"/>
  <c r="E484" i="36"/>
  <c r="E786" i="36"/>
  <c r="E583" i="36"/>
  <c r="E676" i="36"/>
  <c r="E623" i="36"/>
  <c r="E815" i="36"/>
  <c r="E616" i="36"/>
  <c r="E87" i="36"/>
  <c r="E293" i="36"/>
  <c r="E223" i="36"/>
  <c r="E189" i="36"/>
  <c r="E103" i="36"/>
  <c r="E257" i="36"/>
  <c r="E375" i="36"/>
  <c r="E199" i="36"/>
  <c r="E381" i="36"/>
  <c r="E690" i="36"/>
  <c r="E708" i="36"/>
  <c r="E578" i="36"/>
  <c r="E754" i="36"/>
  <c r="E385" i="36"/>
  <c r="E505" i="36"/>
  <c r="E700" i="36"/>
  <c r="E503" i="36"/>
  <c r="E359" i="36"/>
  <c r="E324" i="36"/>
  <c r="E218" i="36"/>
  <c r="E213" i="36"/>
  <c r="E399" i="36"/>
  <c r="E743" i="36"/>
  <c r="E471" i="36"/>
  <c r="E698" i="36"/>
  <c r="F11" i="35" l="1"/>
  <c r="F13" i="35"/>
  <c r="F15" i="35"/>
  <c r="F17" i="35"/>
  <c r="F19" i="35"/>
  <c r="F21" i="35"/>
  <c r="F23" i="35"/>
  <c r="F25" i="35"/>
  <c r="F27" i="35"/>
  <c r="F29" i="35"/>
  <c r="F31" i="35"/>
  <c r="F33" i="35"/>
  <c r="F35" i="35"/>
  <c r="F37" i="35"/>
  <c r="F39" i="35"/>
  <c r="F41" i="35"/>
  <c r="F43" i="35"/>
  <c r="F45" i="35"/>
  <c r="F5" i="35"/>
  <c r="F7" i="35"/>
  <c r="F9" i="35"/>
  <c r="D10" i="35"/>
  <c r="F10" i="35" s="1"/>
  <c r="D11" i="35"/>
  <c r="D12" i="35"/>
  <c r="F12" i="35" s="1"/>
  <c r="D13" i="35"/>
  <c r="D14" i="35"/>
  <c r="F14" i="35" s="1"/>
  <c r="D15" i="35"/>
  <c r="D16" i="35"/>
  <c r="F16" i="35" s="1"/>
  <c r="D17" i="35"/>
  <c r="D18" i="35"/>
  <c r="F18" i="35" s="1"/>
  <c r="D19" i="35"/>
  <c r="D20" i="35"/>
  <c r="F20" i="35" s="1"/>
  <c r="D21" i="35"/>
  <c r="D22" i="35"/>
  <c r="F22" i="35" s="1"/>
  <c r="D23" i="35"/>
  <c r="D24" i="35"/>
  <c r="F24" i="35" s="1"/>
  <c r="D25" i="35"/>
  <c r="D26" i="35"/>
  <c r="F26" i="35" s="1"/>
  <c r="D27" i="35"/>
  <c r="D28" i="35"/>
  <c r="F28" i="35" s="1"/>
  <c r="D29" i="35"/>
  <c r="D30" i="35"/>
  <c r="F30" i="35" s="1"/>
  <c r="D31" i="35"/>
  <c r="D32" i="35"/>
  <c r="F32" i="35" s="1"/>
  <c r="D33" i="35"/>
  <c r="D34" i="35"/>
  <c r="F34" i="35" s="1"/>
  <c r="D35" i="35"/>
  <c r="D36" i="35"/>
  <c r="F36" i="35" s="1"/>
  <c r="D37" i="35"/>
  <c r="D38" i="35"/>
  <c r="F38" i="35" s="1"/>
  <c r="D39" i="35"/>
  <c r="D40" i="35"/>
  <c r="F40" i="35" s="1"/>
  <c r="D41" i="35"/>
  <c r="D42" i="35"/>
  <c r="F42" i="35" s="1"/>
  <c r="D43" i="35"/>
  <c r="D44" i="35"/>
  <c r="F44" i="35" s="1"/>
  <c r="D45" i="35"/>
  <c r="D46" i="35"/>
  <c r="F46" i="35" s="1"/>
  <c r="D5" i="35"/>
  <c r="D6" i="35"/>
  <c r="F6" i="35" s="1"/>
  <c r="D7" i="35"/>
  <c r="D8" i="35"/>
  <c r="F8" i="35" s="1"/>
  <c r="D9" i="35"/>
  <c r="D4" i="35"/>
  <c r="F4" i="35" s="1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" i="35"/>
</calcChain>
</file>

<file path=xl/sharedStrings.xml><?xml version="1.0" encoding="utf-8"?>
<sst xmlns="http://schemas.openxmlformats.org/spreadsheetml/2006/main" count="2386" uniqueCount="408">
  <si>
    <t>sheet名</t>
  </si>
  <si>
    <t>导出客户端文件</t>
    <phoneticPr fontId="4" type="noConversion"/>
  </si>
  <si>
    <t>导出服务端文件</t>
    <phoneticPr fontId="4" type="noConversion"/>
  </si>
  <si>
    <t>主键</t>
  </si>
  <si>
    <t>是否导出</t>
    <phoneticPr fontId="4" type="noConversion"/>
  </si>
  <si>
    <t>屏蔽字段</t>
    <phoneticPr fontId="4" type="noConversion"/>
  </si>
  <si>
    <t>表注释</t>
    <phoneticPr fontId="4" type="noConversion"/>
  </si>
  <si>
    <t>device.json</t>
    <phoneticPr fontId="4" type="noConversion"/>
  </si>
  <si>
    <t>showName</t>
    <phoneticPr fontId="4" type="noConversion"/>
  </si>
  <si>
    <t>string:&gt;</t>
    <phoneticPr fontId="4" type="noConversion"/>
  </si>
  <si>
    <t>设备Id</t>
    <phoneticPr fontId="4" type="noConversion"/>
  </si>
  <si>
    <t>显示名</t>
    <phoneticPr fontId="4" type="noConversion"/>
  </si>
  <si>
    <t>秘钥</t>
    <phoneticPr fontId="4" type="noConversion"/>
  </si>
  <si>
    <t>deviceName</t>
    <phoneticPr fontId="4" type="noConversion"/>
  </si>
  <si>
    <t>描述</t>
    <phoneticPr fontId="4" type="noConversion"/>
  </si>
  <si>
    <t>string:&gt;</t>
    <phoneticPr fontId="4" type="noConversion"/>
  </si>
  <si>
    <t>productName</t>
    <phoneticPr fontId="4" type="noConversion"/>
  </si>
  <si>
    <t>产品名称</t>
    <phoneticPr fontId="4" type="noConversion"/>
  </si>
  <si>
    <t>player</t>
    <phoneticPr fontId="4" type="noConversion"/>
  </si>
  <si>
    <t>scene</t>
    <phoneticPr fontId="4" type="noConversion"/>
  </si>
  <si>
    <r>
      <t>player</t>
    </r>
    <r>
      <rPr>
        <sz val="11"/>
        <color theme="1"/>
        <rFont val="微软雅黑"/>
        <family val="2"/>
        <charset val="134"/>
      </rPr>
      <t>001</t>
    </r>
    <phoneticPr fontId="4" type="noConversion"/>
  </si>
  <si>
    <r>
      <t>player</t>
    </r>
    <r>
      <rPr>
        <sz val="11"/>
        <color theme="1"/>
        <rFont val="微软雅黑"/>
        <family val="2"/>
        <charset val="134"/>
      </rPr>
      <t>002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</si>
  <si>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003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</si>
  <si>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004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</si>
  <si>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005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</si>
  <si>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006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</si>
  <si>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007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</si>
  <si>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008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</si>
  <si>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009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</si>
  <si>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010</t>
    </r>
    <r>
      <rPr>
        <sz val="11"/>
        <color theme="1"/>
        <rFont val="等线"/>
        <family val="2"/>
        <charset val="134"/>
        <scheme val="minor"/>
      </rPr>
      <t/>
    </r>
  </si>
  <si>
    <t>玩家1</t>
    <phoneticPr fontId="4" type="noConversion"/>
  </si>
  <si>
    <t>玩家2</t>
  </si>
  <si>
    <t>玩家3</t>
  </si>
  <si>
    <t>玩家4</t>
  </si>
  <si>
    <t>玩家5</t>
  </si>
  <si>
    <t>玩家6</t>
  </si>
  <si>
    <t>玩家7</t>
  </si>
  <si>
    <t>玩家8</t>
  </si>
  <si>
    <t>玩家9</t>
  </si>
  <si>
    <t>玩家10</t>
  </si>
  <si>
    <t>scene1</t>
    <phoneticPr fontId="4" type="noConversion"/>
  </si>
  <si>
    <t>scene2</t>
  </si>
  <si>
    <t>scene3</t>
  </si>
  <si>
    <t>scene4</t>
  </si>
  <si>
    <t>scene5</t>
  </si>
  <si>
    <t>scene6</t>
  </si>
  <si>
    <r>
      <t>玩家1</t>
    </r>
    <r>
      <rPr>
        <sz val="11"/>
        <color theme="1"/>
        <rFont val="微软雅黑"/>
        <family val="2"/>
        <charset val="134"/>
      </rPr>
      <t>的设备</t>
    </r>
    <phoneticPr fontId="4" type="noConversion"/>
  </si>
  <si>
    <r>
      <t>玩家2的设备</t>
    </r>
    <r>
      <rPr>
        <sz val="11"/>
        <color theme="1"/>
        <rFont val="微软雅黑"/>
        <family val="2"/>
        <charset val="134"/>
      </rPr>
      <t/>
    </r>
  </si>
  <si>
    <r>
      <t>玩家3的设备</t>
    </r>
    <r>
      <rPr>
        <sz val="11"/>
        <color theme="1"/>
        <rFont val="微软雅黑"/>
        <family val="2"/>
        <charset val="134"/>
      </rPr>
      <t/>
    </r>
  </si>
  <si>
    <r>
      <t>玩家4的设备</t>
    </r>
    <r>
      <rPr>
        <sz val="11"/>
        <color theme="1"/>
        <rFont val="微软雅黑"/>
        <family val="2"/>
        <charset val="134"/>
      </rPr>
      <t/>
    </r>
  </si>
  <si>
    <r>
      <t>玩家5的设备</t>
    </r>
    <r>
      <rPr>
        <sz val="11"/>
        <color theme="1"/>
        <rFont val="微软雅黑"/>
        <family val="2"/>
        <charset val="134"/>
      </rPr>
      <t/>
    </r>
  </si>
  <si>
    <r>
      <t>玩家6的设备</t>
    </r>
    <r>
      <rPr>
        <sz val="11"/>
        <color theme="1"/>
        <rFont val="微软雅黑"/>
        <family val="2"/>
        <charset val="134"/>
      </rPr>
      <t/>
    </r>
  </si>
  <si>
    <r>
      <t>玩家7的设备</t>
    </r>
    <r>
      <rPr>
        <sz val="11"/>
        <color theme="1"/>
        <rFont val="微软雅黑"/>
        <family val="2"/>
        <charset val="134"/>
      </rPr>
      <t/>
    </r>
  </si>
  <si>
    <r>
      <t>玩家8的设备</t>
    </r>
    <r>
      <rPr>
        <sz val="11"/>
        <color theme="1"/>
        <rFont val="微软雅黑"/>
        <family val="2"/>
        <charset val="134"/>
      </rPr>
      <t/>
    </r>
  </si>
  <si>
    <r>
      <t>玩家9的设备</t>
    </r>
    <r>
      <rPr>
        <sz val="11"/>
        <color theme="1"/>
        <rFont val="微软雅黑"/>
        <family val="2"/>
        <charset val="134"/>
      </rPr>
      <t/>
    </r>
  </si>
  <si>
    <r>
      <t>玩家10的设备</t>
    </r>
    <r>
      <rPr>
        <sz val="11"/>
        <color theme="1"/>
        <rFont val="微软雅黑"/>
        <family val="2"/>
        <charset val="134"/>
      </rPr>
      <t/>
    </r>
  </si>
  <si>
    <t>场景1的设备</t>
    <phoneticPr fontId="4" type="noConversion"/>
  </si>
  <si>
    <t>场景2的设备</t>
  </si>
  <si>
    <t>场景3的设备</t>
  </si>
  <si>
    <t>场景4的设备</t>
  </si>
  <si>
    <t>场景5的设备</t>
  </si>
  <si>
    <t>场景6的设备</t>
  </si>
  <si>
    <t>description</t>
    <phoneticPr fontId="4" type="noConversion"/>
  </si>
  <si>
    <t>string:e&gt;</t>
    <phoneticPr fontId="4" type="noConversion"/>
  </si>
  <si>
    <t>userData.gold</t>
    <phoneticPr fontId="4" type="noConversion"/>
  </si>
  <si>
    <t>int:e&gt;</t>
    <phoneticPr fontId="4" type="noConversion"/>
  </si>
  <si>
    <t>userData.stone</t>
    <phoneticPr fontId="4" type="noConversion"/>
  </si>
  <si>
    <t>金币数量</t>
    <phoneticPr fontId="4" type="noConversion"/>
  </si>
  <si>
    <t>钻石数量</t>
    <phoneticPr fontId="4" type="noConversion"/>
  </si>
  <si>
    <t>userData.name</t>
    <phoneticPr fontId="4" type="noConversion"/>
  </si>
  <si>
    <t>场景名称</t>
    <phoneticPr fontId="4" type="noConversion"/>
  </si>
  <si>
    <t>勇者大陆</t>
  </si>
  <si>
    <t>勇者大陆</t>
    <phoneticPr fontId="4" type="noConversion"/>
  </si>
  <si>
    <t>仙踪林</t>
  </si>
  <si>
    <t>仙踪林</t>
    <phoneticPr fontId="4" type="noConversion"/>
  </si>
  <si>
    <t>地下城</t>
  </si>
  <si>
    <t>地下城</t>
    <phoneticPr fontId="4" type="noConversion"/>
  </si>
  <si>
    <t>冰风谷</t>
  </si>
  <si>
    <t>冰风谷</t>
    <phoneticPr fontId="4" type="noConversion"/>
  </si>
  <si>
    <t>亚特兰蒂斯</t>
  </si>
  <si>
    <t>亚特兰蒂斯</t>
    <phoneticPr fontId="4" type="noConversion"/>
  </si>
  <si>
    <t>失落之塔</t>
  </si>
  <si>
    <t>失落之塔</t>
    <phoneticPr fontId="4" type="noConversion"/>
  </si>
  <si>
    <t>玩家</t>
    <phoneticPr fontId="4" type="noConversion"/>
  </si>
  <si>
    <t>场景</t>
    <phoneticPr fontId="4" type="noConversion"/>
  </si>
  <si>
    <t>rowId</t>
    <phoneticPr fontId="4" type="noConversion"/>
  </si>
  <si>
    <t>int:&gt;</t>
    <phoneticPr fontId="4" type="noConversion"/>
  </si>
  <si>
    <t>顺序Id</t>
    <phoneticPr fontId="4" type="noConversion"/>
  </si>
  <si>
    <t>productName,rowId</t>
    <phoneticPr fontId="4" type="noConversion"/>
  </si>
  <si>
    <t>油烟设备</t>
    <phoneticPr fontId="4" type="noConversion"/>
  </si>
  <si>
    <t>zy_lampblack_detector</t>
    <phoneticPr fontId="4" type="noConversion"/>
  </si>
  <si>
    <t>qqhilvmgal7</t>
    <phoneticPr fontId="4" type="noConversion"/>
  </si>
  <si>
    <t>湘土情</t>
    <phoneticPr fontId="4" type="noConversion"/>
  </si>
  <si>
    <t>桐柏路湖南印象酒店</t>
    <phoneticPr fontId="4" type="noConversion"/>
  </si>
  <si>
    <t>久久缘桐柏路店</t>
    <phoneticPr fontId="4" type="noConversion"/>
  </si>
  <si>
    <t>晋麦王山西面馆</t>
    <phoneticPr fontId="4" type="noConversion"/>
  </si>
  <si>
    <t>中州国际大饭店</t>
    <phoneticPr fontId="4" type="noConversion"/>
  </si>
  <si>
    <t>宴秋酒店</t>
    <phoneticPr fontId="4" type="noConversion"/>
  </si>
  <si>
    <t>熙园饭店</t>
    <phoneticPr fontId="4" type="noConversion"/>
  </si>
  <si>
    <t>长实彼尔曼大酒店</t>
    <phoneticPr fontId="4" type="noConversion"/>
  </si>
  <si>
    <t>咱家小院</t>
    <phoneticPr fontId="4" type="noConversion"/>
  </si>
  <si>
    <t>帝湖美食城</t>
    <phoneticPr fontId="4" type="noConversion"/>
  </si>
  <si>
    <t>解家河南菜华山路店</t>
    <phoneticPr fontId="4" type="noConversion"/>
  </si>
  <si>
    <t>南泥湾陇海路店</t>
    <phoneticPr fontId="4" type="noConversion"/>
  </si>
  <si>
    <t>菁华园</t>
    <phoneticPr fontId="4" type="noConversion"/>
  </si>
  <si>
    <t>解家河南菜农业路店</t>
    <phoneticPr fontId="4" type="noConversion"/>
  </si>
  <si>
    <t>电力勘测设计院职工食堂</t>
    <phoneticPr fontId="4" type="noConversion"/>
  </si>
  <si>
    <t>张福记</t>
    <phoneticPr fontId="4" type="noConversion"/>
  </si>
  <si>
    <t>葛记焖饼桐柏路店</t>
    <phoneticPr fontId="4" type="noConversion"/>
  </si>
  <si>
    <t>M酒店</t>
    <phoneticPr fontId="4" type="noConversion"/>
  </si>
  <si>
    <t>环保局食堂</t>
    <phoneticPr fontId="4" type="noConversion"/>
  </si>
  <si>
    <t>三厂烩羊肉</t>
    <phoneticPr fontId="4" type="noConversion"/>
  </si>
  <si>
    <t>小南国酒店</t>
    <phoneticPr fontId="4" type="noConversion"/>
  </si>
  <si>
    <t>谢家河南菜陇海路店</t>
    <phoneticPr fontId="4" type="noConversion"/>
  </si>
  <si>
    <t>建委食堂</t>
    <phoneticPr fontId="4" type="noConversion"/>
  </si>
  <si>
    <t>名家名厨</t>
    <phoneticPr fontId="4" type="noConversion"/>
  </si>
  <si>
    <t>南泥湾秦岭路店</t>
    <phoneticPr fontId="4" type="noConversion"/>
  </si>
  <si>
    <t>华都前进路店</t>
    <phoneticPr fontId="4" type="noConversion"/>
  </si>
  <si>
    <t>蜀香轩</t>
    <phoneticPr fontId="4" type="noConversion"/>
  </si>
  <si>
    <t>鲁班张尚品豫菜</t>
    <phoneticPr fontId="4" type="noConversion"/>
  </si>
  <si>
    <t>合记烩面华山路店</t>
    <phoneticPr fontId="4" type="noConversion"/>
  </si>
  <si>
    <t>万达华都</t>
    <phoneticPr fontId="4" type="noConversion"/>
  </si>
  <si>
    <t>老东家烩面馆</t>
    <phoneticPr fontId="4" type="noConversion"/>
  </si>
  <si>
    <t>豫满楼</t>
    <phoneticPr fontId="4" type="noConversion"/>
  </si>
  <si>
    <t>谢家河南菜嵩山路店</t>
    <phoneticPr fontId="4" type="noConversion"/>
  </si>
  <si>
    <t>裕达国贸</t>
    <phoneticPr fontId="4" type="noConversion"/>
  </si>
  <si>
    <t>解先生百花路店</t>
    <phoneticPr fontId="4" type="noConversion"/>
  </si>
  <si>
    <t>葛记焖饼伏牛路店</t>
    <phoneticPr fontId="4" type="noConversion"/>
  </si>
  <si>
    <t>阿五美食陇海路店</t>
    <phoneticPr fontId="4" type="noConversion"/>
  </si>
  <si>
    <t>中心酒店</t>
    <phoneticPr fontId="4" type="noConversion"/>
  </si>
  <si>
    <t>杜康大酒店</t>
    <phoneticPr fontId="4" type="noConversion"/>
  </si>
  <si>
    <t>力源食府</t>
    <phoneticPr fontId="4" type="noConversion"/>
  </si>
  <si>
    <t>花之轩酒店</t>
    <phoneticPr fontId="4" type="noConversion"/>
  </si>
  <si>
    <t>邓记锦上园</t>
    <phoneticPr fontId="4" type="noConversion"/>
  </si>
  <si>
    <t>裕丰源滋补烩面</t>
    <phoneticPr fontId="4" type="noConversion"/>
  </si>
  <si>
    <t>xtq</t>
    <phoneticPr fontId="4" type="noConversion"/>
  </si>
  <si>
    <r>
      <t>t</t>
    </r>
    <r>
      <rPr>
        <sz val="11"/>
        <color theme="1"/>
        <rFont val="微软雅黑"/>
        <family val="2"/>
        <charset val="134"/>
      </rPr>
      <t>blhnyxd</t>
    </r>
    <phoneticPr fontId="4" type="noConversion"/>
  </si>
  <si>
    <r>
      <t>j</t>
    </r>
    <r>
      <rPr>
        <sz val="11"/>
        <color theme="1"/>
        <rFont val="微软雅黑"/>
        <family val="2"/>
        <charset val="134"/>
      </rPr>
      <t>jytbld</t>
    </r>
    <phoneticPr fontId="4" type="noConversion"/>
  </si>
  <si>
    <r>
      <t>j</t>
    </r>
    <r>
      <rPr>
        <sz val="11"/>
        <color theme="1"/>
        <rFont val="微软雅黑"/>
        <family val="2"/>
        <charset val="134"/>
      </rPr>
      <t>mwsxmg</t>
    </r>
    <phoneticPr fontId="4" type="noConversion"/>
  </si>
  <si>
    <t>szgjdjd</t>
    <phoneticPr fontId="4" type="noConversion"/>
  </si>
  <si>
    <t>yqjd</t>
    <phoneticPr fontId="4" type="noConversion"/>
  </si>
  <si>
    <t>xyjd</t>
    <phoneticPr fontId="4" type="noConversion"/>
  </si>
  <si>
    <t>csbemdjd</t>
    <phoneticPr fontId="4" type="noConversion"/>
  </si>
  <si>
    <t>zjxy</t>
    <phoneticPr fontId="4" type="noConversion"/>
  </si>
  <si>
    <t>dhmsc</t>
    <phoneticPr fontId="4" type="noConversion"/>
  </si>
  <si>
    <t>xjhnchsld</t>
    <phoneticPr fontId="4" type="noConversion"/>
  </si>
  <si>
    <t>nnwlhld</t>
    <phoneticPr fontId="4" type="noConversion"/>
  </si>
  <si>
    <t>jhy</t>
    <phoneticPr fontId="4" type="noConversion"/>
  </si>
  <si>
    <t>xjhncnyld</t>
    <phoneticPr fontId="4" type="noConversion"/>
  </si>
  <si>
    <t>dlkcsjyzgst</t>
    <phoneticPr fontId="4" type="noConversion"/>
  </si>
  <si>
    <t>zfj</t>
    <phoneticPr fontId="4" type="noConversion"/>
  </si>
  <si>
    <t>gjmbtbld</t>
    <phoneticPr fontId="4" type="noConversion"/>
  </si>
  <si>
    <t>mjd</t>
    <phoneticPr fontId="4" type="noConversion"/>
  </si>
  <si>
    <t>hbjst</t>
    <phoneticPr fontId="4" type="noConversion"/>
  </si>
  <si>
    <t>schyr</t>
    <phoneticPr fontId="4" type="noConversion"/>
  </si>
  <si>
    <t>xngjd</t>
    <phoneticPr fontId="4" type="noConversion"/>
  </si>
  <si>
    <t>xjhnclhld</t>
    <phoneticPr fontId="4" type="noConversion"/>
  </si>
  <si>
    <t>jwst</t>
    <phoneticPr fontId="4" type="noConversion"/>
  </si>
  <si>
    <t>mjmc</t>
    <phoneticPr fontId="4" type="noConversion"/>
  </si>
  <si>
    <t>nnwqlld</t>
    <phoneticPr fontId="4" type="noConversion"/>
  </si>
  <si>
    <t>hdqjld</t>
    <phoneticPr fontId="4" type="noConversion"/>
  </si>
  <si>
    <t>sxx</t>
    <phoneticPr fontId="4" type="noConversion"/>
  </si>
  <si>
    <t>lbzspyc</t>
    <phoneticPr fontId="4" type="noConversion"/>
  </si>
  <si>
    <t>hjhmhsld</t>
    <phoneticPr fontId="4" type="noConversion"/>
  </si>
  <si>
    <t>wdhd</t>
    <phoneticPr fontId="4" type="noConversion"/>
  </si>
  <si>
    <t>ldjhmg</t>
    <phoneticPr fontId="4" type="noConversion"/>
  </si>
  <si>
    <t>yml</t>
    <phoneticPr fontId="4" type="noConversion"/>
  </si>
  <si>
    <t>xjhncssld</t>
    <phoneticPr fontId="4" type="noConversion"/>
  </si>
  <si>
    <t>ydgm</t>
    <phoneticPr fontId="4" type="noConversion"/>
  </si>
  <si>
    <t>xxsbhld</t>
    <phoneticPr fontId="4" type="noConversion"/>
  </si>
  <si>
    <t>gjmbfnld</t>
    <phoneticPr fontId="4" type="noConversion"/>
  </si>
  <si>
    <t>awmslhld</t>
    <phoneticPr fontId="4" type="noConversion"/>
  </si>
  <si>
    <t>zxjd</t>
    <phoneticPr fontId="4" type="noConversion"/>
  </si>
  <si>
    <t>dkdjd</t>
    <phoneticPr fontId="4" type="noConversion"/>
  </si>
  <si>
    <t>lysf</t>
    <phoneticPr fontId="4" type="noConversion"/>
  </si>
  <si>
    <t>hzxjd</t>
    <phoneticPr fontId="4" type="noConversion"/>
  </si>
  <si>
    <t>djjsy</t>
    <phoneticPr fontId="4" type="noConversion"/>
  </si>
  <si>
    <t>yfyzbhm</t>
    <phoneticPr fontId="4" type="noConversion"/>
  </si>
  <si>
    <r>
      <t>k</t>
    </r>
    <r>
      <rPr>
        <sz val="11"/>
        <color theme="1"/>
        <rFont val="微软雅黑"/>
        <family val="2"/>
        <charset val="134"/>
      </rPr>
      <t>awaii2020</t>
    </r>
    <phoneticPr fontId="4" type="noConversion"/>
  </si>
  <si>
    <t>客户经理</t>
    <phoneticPr fontId="4" type="noConversion"/>
  </si>
  <si>
    <t>汝河路办安队</t>
    <phoneticPr fontId="4" type="noConversion"/>
  </si>
  <si>
    <t>棉办行通</t>
    <phoneticPr fontId="4" type="noConversion"/>
  </si>
  <si>
    <t>绿办浮队</t>
    <phoneticPr fontId="4" type="noConversion"/>
  </si>
  <si>
    <t>汝河办安队</t>
    <phoneticPr fontId="4" type="noConversion"/>
  </si>
  <si>
    <t>须水办王队</t>
    <phoneticPr fontId="4" type="noConversion"/>
  </si>
  <si>
    <t>路明远</t>
    <phoneticPr fontId="4" type="noConversion"/>
  </si>
  <si>
    <t>中原西办王晟</t>
    <phoneticPr fontId="4" type="noConversion"/>
  </si>
  <si>
    <t>西流湖办冯队</t>
    <phoneticPr fontId="4" type="noConversion"/>
  </si>
  <si>
    <t>航西办王恩来</t>
    <phoneticPr fontId="4" type="noConversion"/>
  </si>
  <si>
    <t>莲湖办董队</t>
    <phoneticPr fontId="4" type="noConversion"/>
  </si>
  <si>
    <t>林办郭浩</t>
    <phoneticPr fontId="4" type="noConversion"/>
  </si>
  <si>
    <t>建办姚队</t>
    <phoneticPr fontId="4" type="noConversion"/>
  </si>
  <si>
    <t>三官庙办刘队</t>
    <phoneticPr fontId="4" type="noConversion"/>
  </si>
  <si>
    <t>桐办沙队</t>
    <phoneticPr fontId="4" type="noConversion"/>
  </si>
  <si>
    <t>秦岭路办路明远</t>
    <phoneticPr fontId="4" type="noConversion"/>
  </si>
  <si>
    <t>电话</t>
    <phoneticPr fontId="4" type="noConversion"/>
  </si>
  <si>
    <t>double:e&gt;</t>
    <phoneticPr fontId="4" type="noConversion"/>
  </si>
  <si>
    <t>secret</t>
    <phoneticPr fontId="4" type="noConversion"/>
  </si>
  <si>
    <t>userData.contacts</t>
    <phoneticPr fontId="4" type="noConversion"/>
  </si>
  <si>
    <t>userData.telephone</t>
    <phoneticPr fontId="4" type="noConversion"/>
  </si>
  <si>
    <t>userData.longitudeX</t>
    <phoneticPr fontId="4" type="noConversion"/>
  </si>
  <si>
    <t>userData.longitudeY</t>
    <phoneticPr fontId="4" type="noConversion"/>
  </si>
  <si>
    <t>userData.nickName</t>
    <phoneticPr fontId="4" type="noConversion"/>
  </si>
  <si>
    <t>昵称</t>
    <phoneticPr fontId="4" type="noConversion"/>
  </si>
  <si>
    <t>草野优衣</t>
    <phoneticPr fontId="4" type="noConversion"/>
  </si>
  <si>
    <t>春咲日和</t>
    <phoneticPr fontId="4" type="noConversion"/>
  </si>
  <si>
    <t>士条怜</t>
    <phoneticPr fontId="4" type="noConversion"/>
  </si>
  <si>
    <t>茜美美</t>
    <phoneticPr fontId="4" type="noConversion"/>
  </si>
  <si>
    <t>穗高 禊</t>
    <phoneticPr fontId="4" type="noConversion"/>
  </si>
  <si>
    <t>出云宫子</t>
    <phoneticPr fontId="4" type="noConversion"/>
  </si>
  <si>
    <t>美波铃奈</t>
    <phoneticPr fontId="4" type="noConversion"/>
  </si>
  <si>
    <t>安艺真琴</t>
    <phoneticPr fontId="4" type="noConversion"/>
  </si>
  <si>
    <t>仓石惠理子</t>
    <phoneticPr fontId="4" type="noConversion"/>
  </si>
  <si>
    <t>樱井望</t>
    <phoneticPr fontId="4" type="noConversion"/>
  </si>
  <si>
    <t>姬宫真步</t>
    <phoneticPr fontId="4" type="noConversion"/>
  </si>
  <si>
    <t>爱川美里</t>
    <phoneticPr fontId="4" type="noConversion"/>
  </si>
  <si>
    <t>星野静流</t>
    <phoneticPr fontId="4" type="noConversion"/>
  </si>
  <si>
    <t>上喜忍</t>
    <phoneticPr fontId="4" type="noConversion"/>
  </si>
  <si>
    <t>藤堂秋乃</t>
    <phoneticPr fontId="4" type="noConversion"/>
  </si>
  <si>
    <t>莉玛</t>
    <phoneticPr fontId="4" type="noConversion"/>
  </si>
  <si>
    <t>虹村雪</t>
    <phoneticPr fontId="4" type="noConversion"/>
  </si>
  <si>
    <t>支仓伊绪</t>
    <phoneticPr fontId="4" type="noConversion"/>
  </si>
  <si>
    <t>柏崎栞</t>
    <phoneticPr fontId="4" type="noConversion"/>
  </si>
  <si>
    <t>白银纯</t>
    <phoneticPr fontId="4" type="noConversion"/>
  </si>
  <si>
    <t>玉泉美咲</t>
    <phoneticPr fontId="4" type="noConversion"/>
  </si>
  <si>
    <t>宵滨深月</t>
    <phoneticPr fontId="4" type="noConversion"/>
  </si>
  <si>
    <t>栗林胡桃</t>
    <phoneticPr fontId="4" type="noConversion"/>
  </si>
  <si>
    <t>绫濑优花梨</t>
    <phoneticPr fontId="4" type="noConversion"/>
  </si>
  <si>
    <t>衣之咲璃乃</t>
    <phoneticPr fontId="4" type="noConversion"/>
  </si>
  <si>
    <t>丹野七七香</t>
    <phoneticPr fontId="4" type="noConversion"/>
  </si>
  <si>
    <t>伊莉亚·奥恩斯坦</t>
    <phoneticPr fontId="4" type="noConversion"/>
  </si>
  <si>
    <t>大神美冬</t>
    <phoneticPr fontId="4" type="noConversion"/>
  </si>
  <si>
    <t>北条绫音</t>
    <phoneticPr fontId="4" type="noConversion"/>
  </si>
  <si>
    <t>森近铃</t>
    <phoneticPr fontId="4" type="noConversion"/>
  </si>
  <si>
    <t>野户真阳</t>
    <phoneticPr fontId="4" type="noConversion"/>
  </si>
  <si>
    <t>柊杏奈</t>
    <phoneticPr fontId="4" type="noConversion"/>
  </si>
  <si>
    <t>宫坂珠希</t>
    <phoneticPr fontId="4" type="noConversion"/>
  </si>
  <si>
    <t>风宫依里</t>
    <phoneticPr fontId="4" type="noConversion"/>
  </si>
  <si>
    <t>织原茉莉</t>
    <phoneticPr fontId="4" type="noConversion"/>
  </si>
  <si>
    <t>风宫茜里</t>
    <phoneticPr fontId="4" type="noConversion"/>
  </si>
  <si>
    <t>喜屋武香织</t>
    <phoneticPr fontId="4" type="noConversion"/>
  </si>
  <si>
    <t>三角千歌</t>
    <phoneticPr fontId="4" type="noConversion"/>
  </si>
  <si>
    <t>远见空花</t>
    <phoneticPr fontId="4" type="noConversion"/>
  </si>
  <si>
    <t>柏崎初音</t>
    <phoneticPr fontId="4" type="noConversion"/>
  </si>
  <si>
    <t>冰川镜华</t>
    <phoneticPr fontId="4" type="noConversion"/>
  </si>
  <si>
    <t>妮侬·朱贝尔</t>
    <phoneticPr fontId="4" type="noConversion"/>
  </si>
  <si>
    <t>御久间智</t>
    <phoneticPr fontId="4" type="noConversion"/>
  </si>
  <si>
    <t>双叶碧</t>
    <phoneticPr fontId="4" type="noConversion"/>
  </si>
  <si>
    <t>佐佐木咲恋</t>
    <phoneticPr fontId="4" type="noConversion"/>
  </si>
  <si>
    <t>天野铃莓</t>
    <phoneticPr fontId="4" type="noConversion"/>
  </si>
  <si>
    <t>莫妮卡·拜斯温特</t>
    <phoneticPr fontId="4" type="noConversion"/>
  </si>
  <si>
    <t>茧宫纺希</t>
    <phoneticPr fontId="4" type="noConversion"/>
  </si>
  <si>
    <t>太刀洗流夏</t>
    <phoneticPr fontId="4" type="noConversion"/>
  </si>
  <si>
    <t>姬塔</t>
    <phoneticPr fontId="4" type="noConversion"/>
  </si>
  <si>
    <t>涩谷凛</t>
    <phoneticPr fontId="4" type="noConversion"/>
  </si>
  <si>
    <t>岛村卯月</t>
    <phoneticPr fontId="4" type="noConversion"/>
  </si>
  <si>
    <t>本田未央</t>
    <phoneticPr fontId="4" type="noConversion"/>
  </si>
  <si>
    <t>雾原霞</t>
    <phoneticPr fontId="4" type="noConversion"/>
  </si>
  <si>
    <r>
      <t>玩家11的设备</t>
    </r>
    <r>
      <rPr>
        <sz val="11"/>
        <color theme="1"/>
        <rFont val="微软雅黑"/>
        <family val="2"/>
        <charset val="134"/>
      </rPr>
      <t/>
    </r>
  </si>
  <si>
    <r>
      <t>玩家12的设备</t>
    </r>
    <r>
      <rPr>
        <sz val="11"/>
        <color theme="1"/>
        <rFont val="微软雅黑"/>
        <family val="2"/>
        <charset val="134"/>
      </rPr>
      <t/>
    </r>
  </si>
  <si>
    <r>
      <t>玩家13的设备</t>
    </r>
    <r>
      <rPr>
        <sz val="11"/>
        <color theme="1"/>
        <rFont val="微软雅黑"/>
        <family val="2"/>
        <charset val="134"/>
      </rPr>
      <t/>
    </r>
  </si>
  <si>
    <r>
      <t>玩家14的设备</t>
    </r>
    <r>
      <rPr>
        <sz val="11"/>
        <color theme="1"/>
        <rFont val="微软雅黑"/>
        <family val="2"/>
        <charset val="134"/>
      </rPr>
      <t/>
    </r>
  </si>
  <si>
    <r>
      <t>玩家15的设备</t>
    </r>
    <r>
      <rPr>
        <sz val="11"/>
        <color theme="1"/>
        <rFont val="微软雅黑"/>
        <family val="2"/>
        <charset val="134"/>
      </rPr>
      <t/>
    </r>
  </si>
  <si>
    <r>
      <t>玩家16的设备</t>
    </r>
    <r>
      <rPr>
        <sz val="11"/>
        <color theme="1"/>
        <rFont val="微软雅黑"/>
        <family val="2"/>
        <charset val="134"/>
      </rPr>
      <t/>
    </r>
  </si>
  <si>
    <r>
      <t>玩家17的设备</t>
    </r>
    <r>
      <rPr>
        <sz val="11"/>
        <color theme="1"/>
        <rFont val="微软雅黑"/>
        <family val="2"/>
        <charset val="134"/>
      </rPr>
      <t/>
    </r>
  </si>
  <si>
    <r>
      <t>玩家18的设备</t>
    </r>
    <r>
      <rPr>
        <sz val="11"/>
        <color theme="1"/>
        <rFont val="微软雅黑"/>
        <family val="2"/>
        <charset val="134"/>
      </rPr>
      <t/>
    </r>
  </si>
  <si>
    <r>
      <t>玩家19的设备</t>
    </r>
    <r>
      <rPr>
        <sz val="11"/>
        <color theme="1"/>
        <rFont val="微软雅黑"/>
        <family val="2"/>
        <charset val="134"/>
      </rPr>
      <t/>
    </r>
  </si>
  <si>
    <r>
      <t>玩家20的设备</t>
    </r>
    <r>
      <rPr>
        <sz val="11"/>
        <color theme="1"/>
        <rFont val="微软雅黑"/>
        <family val="2"/>
        <charset val="134"/>
      </rPr>
      <t/>
    </r>
  </si>
  <si>
    <r>
      <t>玩家21的设备</t>
    </r>
    <r>
      <rPr>
        <sz val="11"/>
        <color theme="1"/>
        <rFont val="微软雅黑"/>
        <family val="2"/>
        <charset val="134"/>
      </rPr>
      <t/>
    </r>
  </si>
  <si>
    <r>
      <t>玩家22的设备</t>
    </r>
    <r>
      <rPr>
        <sz val="11"/>
        <color theme="1"/>
        <rFont val="微软雅黑"/>
        <family val="2"/>
        <charset val="134"/>
      </rPr>
      <t/>
    </r>
  </si>
  <si>
    <r>
      <t>玩家23的设备</t>
    </r>
    <r>
      <rPr>
        <sz val="11"/>
        <color theme="1"/>
        <rFont val="微软雅黑"/>
        <family val="2"/>
        <charset val="134"/>
      </rPr>
      <t/>
    </r>
  </si>
  <si>
    <r>
      <t>玩家24的设备</t>
    </r>
    <r>
      <rPr>
        <sz val="11"/>
        <color theme="1"/>
        <rFont val="微软雅黑"/>
        <family val="2"/>
        <charset val="134"/>
      </rPr>
      <t/>
    </r>
  </si>
  <si>
    <r>
      <t>玩家25的设备</t>
    </r>
    <r>
      <rPr>
        <sz val="11"/>
        <color theme="1"/>
        <rFont val="微软雅黑"/>
        <family val="2"/>
        <charset val="134"/>
      </rPr>
      <t/>
    </r>
  </si>
  <si>
    <r>
      <t>玩家26的设备</t>
    </r>
    <r>
      <rPr>
        <sz val="11"/>
        <color theme="1"/>
        <rFont val="微软雅黑"/>
        <family val="2"/>
        <charset val="134"/>
      </rPr>
      <t/>
    </r>
  </si>
  <si>
    <r>
      <t>玩家27的设备</t>
    </r>
    <r>
      <rPr>
        <sz val="11"/>
        <color theme="1"/>
        <rFont val="微软雅黑"/>
        <family val="2"/>
        <charset val="134"/>
      </rPr>
      <t/>
    </r>
  </si>
  <si>
    <r>
      <t>玩家28的设备</t>
    </r>
    <r>
      <rPr>
        <sz val="11"/>
        <color theme="1"/>
        <rFont val="微软雅黑"/>
        <family val="2"/>
        <charset val="134"/>
      </rPr>
      <t/>
    </r>
  </si>
  <si>
    <r>
      <t>玩家29的设备</t>
    </r>
    <r>
      <rPr>
        <sz val="11"/>
        <color theme="1"/>
        <rFont val="微软雅黑"/>
        <family val="2"/>
        <charset val="134"/>
      </rPr>
      <t/>
    </r>
  </si>
  <si>
    <r>
      <t>玩家30的设备</t>
    </r>
    <r>
      <rPr>
        <sz val="11"/>
        <color theme="1"/>
        <rFont val="微软雅黑"/>
        <family val="2"/>
        <charset val="134"/>
      </rPr>
      <t/>
    </r>
  </si>
  <si>
    <r>
      <t>玩家31的设备</t>
    </r>
    <r>
      <rPr>
        <sz val="11"/>
        <color theme="1"/>
        <rFont val="微软雅黑"/>
        <family val="2"/>
        <charset val="134"/>
      </rPr>
      <t/>
    </r>
  </si>
  <si>
    <r>
      <t>玩家32的设备</t>
    </r>
    <r>
      <rPr>
        <sz val="11"/>
        <color theme="1"/>
        <rFont val="微软雅黑"/>
        <family val="2"/>
        <charset val="134"/>
      </rPr>
      <t/>
    </r>
  </si>
  <si>
    <r>
      <t>玩家33的设备</t>
    </r>
    <r>
      <rPr>
        <sz val="11"/>
        <color theme="1"/>
        <rFont val="微软雅黑"/>
        <family val="2"/>
        <charset val="134"/>
      </rPr>
      <t/>
    </r>
  </si>
  <si>
    <r>
      <t>玩家34的设备</t>
    </r>
    <r>
      <rPr>
        <sz val="11"/>
        <color theme="1"/>
        <rFont val="微软雅黑"/>
        <family val="2"/>
        <charset val="134"/>
      </rPr>
      <t/>
    </r>
  </si>
  <si>
    <r>
      <t>玩家35的设备</t>
    </r>
    <r>
      <rPr>
        <sz val="11"/>
        <color theme="1"/>
        <rFont val="微软雅黑"/>
        <family val="2"/>
        <charset val="134"/>
      </rPr>
      <t/>
    </r>
  </si>
  <si>
    <r>
      <t>玩家36的设备</t>
    </r>
    <r>
      <rPr>
        <sz val="11"/>
        <color theme="1"/>
        <rFont val="微软雅黑"/>
        <family val="2"/>
        <charset val="134"/>
      </rPr>
      <t/>
    </r>
  </si>
  <si>
    <r>
      <t>玩家37的设备</t>
    </r>
    <r>
      <rPr>
        <sz val="11"/>
        <color theme="1"/>
        <rFont val="微软雅黑"/>
        <family val="2"/>
        <charset val="134"/>
      </rPr>
      <t/>
    </r>
  </si>
  <si>
    <r>
      <t>玩家38的设备</t>
    </r>
    <r>
      <rPr>
        <sz val="11"/>
        <color theme="1"/>
        <rFont val="微软雅黑"/>
        <family val="2"/>
        <charset val="134"/>
      </rPr>
      <t/>
    </r>
  </si>
  <si>
    <r>
      <t>玩家39的设备</t>
    </r>
    <r>
      <rPr>
        <sz val="11"/>
        <color theme="1"/>
        <rFont val="微软雅黑"/>
        <family val="2"/>
        <charset val="134"/>
      </rPr>
      <t/>
    </r>
  </si>
  <si>
    <r>
      <t>玩家40的设备</t>
    </r>
    <r>
      <rPr>
        <sz val="11"/>
        <color theme="1"/>
        <rFont val="微软雅黑"/>
        <family val="2"/>
        <charset val="134"/>
      </rPr>
      <t/>
    </r>
  </si>
  <si>
    <r>
      <t>玩家41的设备</t>
    </r>
    <r>
      <rPr>
        <sz val="11"/>
        <color theme="1"/>
        <rFont val="微软雅黑"/>
        <family val="2"/>
        <charset val="134"/>
      </rPr>
      <t/>
    </r>
  </si>
  <si>
    <r>
      <t>玩家42的设备</t>
    </r>
    <r>
      <rPr>
        <sz val="11"/>
        <color theme="1"/>
        <rFont val="微软雅黑"/>
        <family val="2"/>
        <charset val="134"/>
      </rPr>
      <t/>
    </r>
  </si>
  <si>
    <r>
      <t>玩家43的设备</t>
    </r>
    <r>
      <rPr>
        <sz val="11"/>
        <color theme="1"/>
        <rFont val="微软雅黑"/>
        <family val="2"/>
        <charset val="134"/>
      </rPr>
      <t/>
    </r>
  </si>
  <si>
    <r>
      <t>玩家44的设备</t>
    </r>
    <r>
      <rPr>
        <sz val="11"/>
        <color theme="1"/>
        <rFont val="微软雅黑"/>
        <family val="2"/>
        <charset val="134"/>
      </rPr>
      <t/>
    </r>
  </si>
  <si>
    <r>
      <t>玩家45的设备</t>
    </r>
    <r>
      <rPr>
        <sz val="11"/>
        <color theme="1"/>
        <rFont val="微软雅黑"/>
        <family val="2"/>
        <charset val="134"/>
      </rPr>
      <t/>
    </r>
  </si>
  <si>
    <r>
      <t>玩家46的设备</t>
    </r>
    <r>
      <rPr>
        <sz val="11"/>
        <color theme="1"/>
        <rFont val="微软雅黑"/>
        <family val="2"/>
        <charset val="134"/>
      </rPr>
      <t/>
    </r>
  </si>
  <si>
    <r>
      <t>玩家47的设备</t>
    </r>
    <r>
      <rPr>
        <sz val="11"/>
        <color theme="1"/>
        <rFont val="微软雅黑"/>
        <family val="2"/>
        <charset val="134"/>
      </rPr>
      <t/>
    </r>
  </si>
  <si>
    <r>
      <t>玩家48的设备</t>
    </r>
    <r>
      <rPr>
        <sz val="11"/>
        <color theme="1"/>
        <rFont val="微软雅黑"/>
        <family val="2"/>
        <charset val="134"/>
      </rPr>
      <t/>
    </r>
  </si>
  <si>
    <r>
      <t>玩家49的设备</t>
    </r>
    <r>
      <rPr>
        <sz val="11"/>
        <color theme="1"/>
        <rFont val="微软雅黑"/>
        <family val="2"/>
        <charset val="134"/>
      </rPr>
      <t/>
    </r>
  </si>
  <si>
    <r>
      <t>玩家50的设备</t>
    </r>
    <r>
      <rPr>
        <sz val="11"/>
        <color theme="1"/>
        <rFont val="微软雅黑"/>
        <family val="2"/>
        <charset val="134"/>
      </rPr>
      <t/>
    </r>
  </si>
  <si>
    <r>
      <t>玩家51的设备</t>
    </r>
    <r>
      <rPr>
        <sz val="11"/>
        <color theme="1"/>
        <rFont val="微软雅黑"/>
        <family val="2"/>
        <charset val="134"/>
      </rPr>
      <t/>
    </r>
  </si>
  <si>
    <r>
      <t>玩家52的设备</t>
    </r>
    <r>
      <rPr>
        <sz val="11"/>
        <color theme="1"/>
        <rFont val="微软雅黑"/>
        <family val="2"/>
        <charset val="134"/>
      </rPr>
      <t/>
    </r>
  </si>
  <si>
    <r>
      <t>玩家53的设备</t>
    </r>
    <r>
      <rPr>
        <sz val="11"/>
        <color theme="1"/>
        <rFont val="微软雅黑"/>
        <family val="2"/>
        <charset val="134"/>
      </rPr>
      <t/>
    </r>
  </si>
  <si>
    <r>
      <t>玩家54的设备</t>
    </r>
    <r>
      <rPr>
        <sz val="11"/>
        <color theme="1"/>
        <rFont val="微软雅黑"/>
        <family val="2"/>
        <charset val="134"/>
      </rPr>
      <t/>
    </r>
  </si>
  <si>
    <t>玩家11</t>
  </si>
  <si>
    <t>玩家12</t>
  </si>
  <si>
    <t>玩家13</t>
  </si>
  <si>
    <t>玩家14</t>
  </si>
  <si>
    <t>玩家15</t>
  </si>
  <si>
    <t>玩家16</t>
  </si>
  <si>
    <t>玩家17</t>
  </si>
  <si>
    <t>玩家18</t>
  </si>
  <si>
    <t>玩家19</t>
  </si>
  <si>
    <t>玩家20</t>
  </si>
  <si>
    <t>玩家21</t>
  </si>
  <si>
    <t>玩家22</t>
  </si>
  <si>
    <t>玩家23</t>
  </si>
  <si>
    <t>玩家24</t>
  </si>
  <si>
    <t>玩家25</t>
  </si>
  <si>
    <t>玩家26</t>
  </si>
  <si>
    <t>玩家27</t>
  </si>
  <si>
    <t>玩家28</t>
  </si>
  <si>
    <t>玩家29</t>
  </si>
  <si>
    <t>玩家30</t>
  </si>
  <si>
    <t>玩家31</t>
  </si>
  <si>
    <t>玩家32</t>
  </si>
  <si>
    <t>玩家33</t>
  </si>
  <si>
    <t>玩家34</t>
  </si>
  <si>
    <t>玩家35</t>
  </si>
  <si>
    <t>玩家36</t>
  </si>
  <si>
    <t>玩家37</t>
  </si>
  <si>
    <t>玩家38</t>
  </si>
  <si>
    <t>玩家39</t>
  </si>
  <si>
    <t>玩家40</t>
  </si>
  <si>
    <t>玩家41</t>
  </si>
  <si>
    <t>玩家42</t>
  </si>
  <si>
    <t>玩家43</t>
  </si>
  <si>
    <t>玩家44</t>
  </si>
  <si>
    <t>玩家45</t>
  </si>
  <si>
    <t>玩家46</t>
  </si>
  <si>
    <t>玩家47</t>
  </si>
  <si>
    <t>玩家48</t>
  </si>
  <si>
    <t>玩家49</t>
  </si>
  <si>
    <t>玩家50</t>
  </si>
  <si>
    <t>玩家51</t>
  </si>
  <si>
    <t>玩家52</t>
  </si>
  <si>
    <t>玩家53</t>
  </si>
  <si>
    <t>玩家54</t>
  </si>
  <si>
    <r>
      <t>player</t>
    </r>
    <r>
      <rPr>
        <sz val="11"/>
        <color theme="1"/>
        <rFont val="微软雅黑"/>
        <family val="2"/>
        <charset val="134"/>
      </rPr>
      <t>011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</si>
  <si>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012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</si>
  <si>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013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</si>
  <si>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014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</si>
  <si>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015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</si>
  <si>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016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</si>
  <si>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017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</si>
  <si>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018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</si>
  <si>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019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</si>
  <si>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020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</si>
  <si>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021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</si>
  <si>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022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</si>
  <si>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023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</si>
  <si>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024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</si>
  <si>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025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</si>
  <si>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026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</si>
  <si>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027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</si>
  <si>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028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</si>
  <si>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029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</si>
  <si>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030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</si>
  <si>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031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</si>
  <si>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032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</si>
  <si>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033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</si>
  <si>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034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</si>
  <si>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035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</si>
  <si>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036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</si>
  <si>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037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</si>
  <si>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038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</si>
  <si>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039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</si>
  <si>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040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</si>
  <si>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041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</si>
  <si>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042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</si>
  <si>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043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</si>
  <si>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044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</si>
  <si>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045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</si>
  <si>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046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</si>
  <si>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047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</si>
  <si>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048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</si>
  <si>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049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</si>
  <si>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050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</si>
  <si>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051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</si>
  <si>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052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</si>
  <si>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053</t>
    </r>
    <r>
      <rPr>
        <sz val="11"/>
        <color theme="1"/>
        <rFont val="等线"/>
        <family val="2"/>
        <charset val="134"/>
        <scheme val="minor"/>
      </rPr>
      <t/>
    </r>
  </si>
  <si>
    <r>
      <t>player</t>
    </r>
    <r>
      <rPr>
        <sz val="11"/>
        <color theme="1"/>
        <rFont val="微软雅黑"/>
        <family val="2"/>
        <charset val="134"/>
      </rPr>
      <t>054</t>
    </r>
    <r>
      <rPr>
        <sz val="11"/>
        <color theme="1"/>
        <rFont val="等线"/>
        <family val="2"/>
        <charset val="134"/>
        <scheme val="minor"/>
      </rPr>
      <t/>
    </r>
  </si>
  <si>
    <t>userData.lv</t>
    <phoneticPr fontId="4" type="noConversion"/>
  </si>
  <si>
    <t>int:e&gt;</t>
    <phoneticPr fontId="4" type="noConversion"/>
  </si>
  <si>
    <t>等级</t>
    <phoneticPr fontId="4" type="noConversion"/>
  </si>
  <si>
    <t>fiberBox</t>
    <phoneticPr fontId="4" type="noConversion"/>
  </si>
  <si>
    <t>哑资源设备</t>
    <phoneticPr fontId="4" type="noConversion"/>
  </si>
  <si>
    <t>userData.rack[1]</t>
    <phoneticPr fontId="4" type="noConversion"/>
  </si>
  <si>
    <t>long:e&gt;</t>
    <phoneticPr fontId="4" type="noConversion"/>
  </si>
  <si>
    <t>userData.rack[2]</t>
  </si>
  <si>
    <t>机架1</t>
    <phoneticPr fontId="4" type="noConversion"/>
  </si>
  <si>
    <t>机架2</t>
    <phoneticPr fontId="4" type="noConversion"/>
  </si>
  <si>
    <t>机架数</t>
    <phoneticPr fontId="4" type="noConversion"/>
  </si>
  <si>
    <t>int:e</t>
    <phoneticPr fontId="4" type="noConversion"/>
  </si>
  <si>
    <t>rackIdx1</t>
    <phoneticPr fontId="4" type="noConversion"/>
  </si>
  <si>
    <t>rackIdx2</t>
  </si>
  <si>
    <t>第1个机架</t>
    <phoneticPr fontId="4" type="noConversion"/>
  </si>
  <si>
    <t>第2个机架</t>
  </si>
  <si>
    <t>Citc@2021</t>
    <phoneticPr fontId="4" type="noConversion"/>
  </si>
  <si>
    <t>设备Name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</si>
</sst>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6"/>
      <color theme="1"/>
      <name val="等线"/>
      <family val="2"/>
      <scheme val="minor"/>
    </font>
    <font>
      <strike/>
      <sz val="11"/>
      <color theme="1"/>
      <name val="等线"/>
      <family val="3"/>
      <scheme val="minor"/>
    </font>
    <font>
      <sz val="12"/>
      <color theme="1"/>
      <name val="等线"/>
      <family val="2"/>
      <charset val="134"/>
      <scheme val="minor"/>
    </font>
    <font>
      <u/>
      <sz val="12"/>
      <color theme="10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3453779717398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3">
    <xf numFmtId="0" fontId="0" fillId="0" borderId="0"/>
    <xf numFmtId="0" fontId="3" fillId="0" borderId="0">
      <alignment vertical="center"/>
    </xf>
    <xf numFmtId="0" fontId="5" fillId="3" borderId="0">
      <alignment horizontal="center" vertical="top" wrapText="1"/>
    </xf>
    <xf numFmtId="0" fontId="8" fillId="0" borderId="1">
      <alignment horizontal="center" vertical="center"/>
    </xf>
    <xf numFmtId="0" fontId="7" fillId="0" borderId="2">
      <alignment vertical="top" wrapText="1"/>
    </xf>
    <xf numFmtId="0" fontId="6" fillId="4" borderId="2">
      <alignment horizontal="center" vertical="center" shrinkToFit="1"/>
    </xf>
    <xf numFmtId="0" fontId="9" fillId="5" borderId="0"/>
    <xf numFmtId="0" fontId="2" fillId="6" borderId="2">
      <alignment horizontal="center" vertical="center" wrapText="1"/>
    </xf>
    <xf numFmtId="0" fontId="3" fillId="7" borderId="2" applyFont="0">
      <alignment horizontal="center" vertical="center" wrapText="1"/>
    </xf>
    <xf numFmtId="0" fontId="7" fillId="2" borderId="0"/>
    <xf numFmtId="0" fontId="10" fillId="0" borderId="0"/>
    <xf numFmtId="0" fontId="11" fillId="0" borderId="0" applyNumberFormat="0" applyFill="0" applyBorder="0" applyAlignment="0" applyProtection="0"/>
    <xf numFmtId="0" fontId="5" fillId="0" borderId="0">
      <alignment horizontal="center" vertical="center"/>
    </xf>
  </cellStyleXfs>
  <cellXfs count="13">
    <xf numFmtId="0" fontId="0" fillId="0" borderId="0" xfId="0"/>
    <xf numFmtId="0" fontId="3" fillId="0" borderId="0" xfId="1">
      <alignment vertical="center"/>
    </xf>
    <xf numFmtId="0" fontId="5" fillId="3" borderId="0" xfId="2">
      <alignment horizontal="center" vertical="top" wrapText="1"/>
    </xf>
    <xf numFmtId="0" fontId="7" fillId="0" borderId="2" xfId="4">
      <alignment vertical="top" wrapText="1"/>
    </xf>
    <xf numFmtId="0" fontId="2" fillId="0" borderId="2" xfId="4" applyFont="1">
      <alignment vertical="top" wrapText="1"/>
    </xf>
    <xf numFmtId="0" fontId="5" fillId="0" borderId="0" xfId="12">
      <alignment horizontal="center" vertical="center"/>
    </xf>
    <xf numFmtId="0" fontId="5" fillId="0" borderId="0" xfId="12" applyFill="1">
      <alignment horizontal="center" vertical="center"/>
    </xf>
    <xf numFmtId="0" fontId="7" fillId="0" borderId="3" xfId="4" applyFill="1" applyBorder="1">
      <alignment vertical="top" wrapText="1"/>
    </xf>
    <xf numFmtId="0" fontId="7" fillId="0" borderId="0" xfId="4" applyFill="1" applyBorder="1">
      <alignment vertical="top" wrapText="1"/>
    </xf>
    <xf numFmtId="0" fontId="2" fillId="0" borderId="0" xfId="4" applyFont="1" applyFill="1" applyBorder="1">
      <alignment vertical="top" wrapText="1"/>
    </xf>
    <xf numFmtId="0" fontId="2" fillId="0" borderId="2" xfId="4" quotePrefix="1" applyFont="1">
      <alignment vertical="top" wrapText="1"/>
    </xf>
    <xf numFmtId="0" fontId="2" fillId="6" borderId="2" xfId="7">
      <alignment horizontal="center" vertical="center" wrapText="1"/>
    </xf>
    <xf numFmtId="0" fontId="5" fillId="7" borderId="2" xfId="8" applyFont="1">
      <alignment horizontal="center" vertical="center" wrapText="1"/>
    </xf>
  </cellXfs>
  <cellStyles count="13">
    <cellStyle name="Grid" xfId="4" xr:uid="{00000000-0005-0000-0000-000000000000}"/>
    <cellStyle name="Normal" xfId="1" xr:uid="{00000000-0005-0000-0000-000001000000}"/>
    <cellStyle name="常规" xfId="0" builtinId="0"/>
    <cellStyle name="常规 2" xfId="10" xr:uid="{00000000-0005-0000-0000-000003000000}"/>
    <cellStyle name="超链接 2" xfId="11" xr:uid="{00000000-0005-0000-0000-000004000000}"/>
    <cellStyle name="大标题" xfId="3" xr:uid="{00000000-0005-0000-0000-000005000000}"/>
    <cellStyle name="横向标题" xfId="5" xr:uid="{00000000-0005-0000-0000-000006000000}"/>
    <cellStyle name="文本" xfId="9" xr:uid="{00000000-0005-0000-0000-000007000000}"/>
    <cellStyle name="无效" xfId="6" xr:uid="{00000000-0005-0000-0000-000008000000}"/>
    <cellStyle name="因变Grid" xfId="7" xr:uid="{00000000-0005-0000-0000-000009000000}"/>
    <cellStyle name="英文标题" xfId="12" xr:uid="{00000000-0005-0000-0000-00000A000000}"/>
    <cellStyle name="中文标题" xfId="2" xr:uid="{00000000-0005-0000-0000-00000B000000}"/>
    <cellStyle name="纵向标题" xfId="8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eater.&#23616;&#3144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局站"/>
      <sheetName val="机架"/>
      <sheetName val="子架"/>
    </sheetNames>
    <sheetDataSet>
      <sheetData sheetId="0"/>
      <sheetData sheetId="1"/>
      <sheetData sheetId="2">
        <row r="1">
          <cell r="A1" t="str">
            <v>rowId</v>
          </cell>
          <cell r="C1" t="str">
            <v>id</v>
          </cell>
          <cell r="D1" t="str">
            <v>#note</v>
          </cell>
        </row>
        <row r="2">
          <cell r="A2" t="str">
            <v>int:</v>
          </cell>
          <cell r="C2" t="str">
            <v>long:&gt;</v>
          </cell>
          <cell r="D2" t="str">
            <v>string:</v>
          </cell>
        </row>
        <row r="3">
          <cell r="A3" t="str">
            <v>行Id</v>
          </cell>
          <cell r="C3" t="str">
            <v>Id</v>
          </cell>
          <cell r="D3" t="str">
            <v>备注</v>
          </cell>
        </row>
        <row r="4">
          <cell r="A4">
            <v>1</v>
          </cell>
          <cell r="C4">
            <v>3701001111</v>
          </cell>
          <cell r="D4" t="str">
            <v>济南经十路の机架-1</v>
          </cell>
        </row>
        <row r="5">
          <cell r="A5">
            <v>2</v>
          </cell>
          <cell r="C5">
            <v>3701001112</v>
          </cell>
          <cell r="D5" t="str">
            <v>济南经十路の机架-2</v>
          </cell>
        </row>
        <row r="6">
          <cell r="A6">
            <v>3</v>
          </cell>
          <cell r="C6">
            <v>3701001113</v>
          </cell>
          <cell r="D6" t="str">
            <v>济南经十路の机架-3</v>
          </cell>
        </row>
        <row r="7">
          <cell r="A7">
            <v>4</v>
          </cell>
          <cell r="C7">
            <v>3701001121</v>
          </cell>
          <cell r="D7" t="str">
            <v>济南经十路の机架-4</v>
          </cell>
        </row>
        <row r="8">
          <cell r="A8">
            <v>5</v>
          </cell>
          <cell r="C8">
            <v>3701001122</v>
          </cell>
          <cell r="D8" t="str">
            <v>济南经十路の机架-5</v>
          </cell>
        </row>
        <row r="9">
          <cell r="A9">
            <v>6</v>
          </cell>
          <cell r="C9">
            <v>3701001123</v>
          </cell>
          <cell r="D9" t="str">
            <v>济南经十路の机架-6</v>
          </cell>
        </row>
        <row r="10">
          <cell r="A10">
            <v>7</v>
          </cell>
          <cell r="C10">
            <v>3701001131</v>
          </cell>
          <cell r="D10" t="str">
            <v>济南经十路の机架-7</v>
          </cell>
        </row>
        <row r="11">
          <cell r="A11">
            <v>8</v>
          </cell>
          <cell r="C11">
            <v>3701001132</v>
          </cell>
          <cell r="D11" t="str">
            <v>济南经十路の机架-8</v>
          </cell>
        </row>
        <row r="12">
          <cell r="A12">
            <v>9</v>
          </cell>
          <cell r="C12">
            <v>3701001133</v>
          </cell>
          <cell r="D12" t="str">
            <v>济南经十路の机架-9</v>
          </cell>
        </row>
        <row r="13">
          <cell r="A13">
            <v>10</v>
          </cell>
          <cell r="C13">
            <v>3701001211</v>
          </cell>
          <cell r="D13" t="str">
            <v>济南经十路の机架-10</v>
          </cell>
        </row>
        <row r="14">
          <cell r="A14">
            <v>11</v>
          </cell>
          <cell r="C14">
            <v>3701001212</v>
          </cell>
          <cell r="D14" t="str">
            <v>济南经十路の机架-11</v>
          </cell>
        </row>
        <row r="15">
          <cell r="A15">
            <v>12</v>
          </cell>
          <cell r="C15">
            <v>3701001213</v>
          </cell>
          <cell r="D15" t="str">
            <v>济南经十路の机架-12</v>
          </cell>
        </row>
        <row r="16">
          <cell r="A16">
            <v>13</v>
          </cell>
          <cell r="C16">
            <v>3701001221</v>
          </cell>
          <cell r="D16" t="str">
            <v>济南经十路の机架-13</v>
          </cell>
        </row>
        <row r="17">
          <cell r="A17">
            <v>14</v>
          </cell>
          <cell r="C17">
            <v>3701001222</v>
          </cell>
          <cell r="D17" t="str">
            <v>济南经十路の机架-14</v>
          </cell>
        </row>
        <row r="18">
          <cell r="A18">
            <v>15</v>
          </cell>
          <cell r="C18">
            <v>3701001223</v>
          </cell>
          <cell r="D18" t="str">
            <v>济南经十路の机架-15</v>
          </cell>
        </row>
        <row r="19">
          <cell r="A19">
            <v>16</v>
          </cell>
          <cell r="C19">
            <v>3701001231</v>
          </cell>
          <cell r="D19" t="str">
            <v>济南经十路の机架-16</v>
          </cell>
        </row>
        <row r="20">
          <cell r="A20">
            <v>17</v>
          </cell>
          <cell r="C20">
            <v>3701001232</v>
          </cell>
          <cell r="D20" t="str">
            <v>济南经十路の机架-17</v>
          </cell>
        </row>
        <row r="21">
          <cell r="A21">
            <v>18</v>
          </cell>
          <cell r="C21">
            <v>3701001233</v>
          </cell>
          <cell r="D21" t="str">
            <v>济南经十路の机架-18</v>
          </cell>
        </row>
        <row r="22">
          <cell r="A22">
            <v>19</v>
          </cell>
          <cell r="C22">
            <v>3701001311</v>
          </cell>
          <cell r="D22" t="str">
            <v>济南经十路の机架-19</v>
          </cell>
        </row>
        <row r="23">
          <cell r="A23">
            <v>20</v>
          </cell>
          <cell r="C23">
            <v>3701001312</v>
          </cell>
          <cell r="D23" t="str">
            <v>济南经十路の机架-20</v>
          </cell>
        </row>
        <row r="24">
          <cell r="A24">
            <v>21</v>
          </cell>
          <cell r="C24">
            <v>3701001313</v>
          </cell>
          <cell r="D24" t="str">
            <v>济南经十路の机架-21</v>
          </cell>
        </row>
        <row r="25">
          <cell r="A25">
            <v>22</v>
          </cell>
          <cell r="C25">
            <v>3701001321</v>
          </cell>
          <cell r="D25" t="str">
            <v>济南经十路の机架-22</v>
          </cell>
        </row>
        <row r="26">
          <cell r="A26">
            <v>23</v>
          </cell>
          <cell r="C26">
            <v>3701001322</v>
          </cell>
          <cell r="D26" t="str">
            <v>济南经十路の机架-23</v>
          </cell>
        </row>
        <row r="27">
          <cell r="A27">
            <v>24</v>
          </cell>
          <cell r="C27">
            <v>3701001323</v>
          </cell>
          <cell r="D27" t="str">
            <v>济南经十路の机架-24</v>
          </cell>
        </row>
        <row r="28">
          <cell r="A28">
            <v>25</v>
          </cell>
          <cell r="C28">
            <v>3701002111</v>
          </cell>
          <cell r="D28" t="str">
            <v>济南山大路の机架-1</v>
          </cell>
        </row>
        <row r="29">
          <cell r="A29">
            <v>26</v>
          </cell>
          <cell r="C29">
            <v>3701002112</v>
          </cell>
          <cell r="D29" t="str">
            <v>济南山大路の机架-2</v>
          </cell>
        </row>
        <row r="30">
          <cell r="A30">
            <v>27</v>
          </cell>
          <cell r="C30">
            <v>3701002113</v>
          </cell>
          <cell r="D30" t="str">
            <v>济南山大路の机架-3</v>
          </cell>
        </row>
        <row r="31">
          <cell r="A31">
            <v>28</v>
          </cell>
          <cell r="C31">
            <v>3701002121</v>
          </cell>
          <cell r="D31" t="str">
            <v>济南山大路の机架-4</v>
          </cell>
        </row>
        <row r="32">
          <cell r="A32">
            <v>29</v>
          </cell>
          <cell r="C32">
            <v>3701002122</v>
          </cell>
          <cell r="D32" t="str">
            <v>济南山大路の机架-5</v>
          </cell>
        </row>
        <row r="33">
          <cell r="A33">
            <v>30</v>
          </cell>
          <cell r="C33">
            <v>3701002123</v>
          </cell>
          <cell r="D33" t="str">
            <v>济南山大路の机架-6</v>
          </cell>
        </row>
        <row r="34">
          <cell r="A34">
            <v>31</v>
          </cell>
          <cell r="C34">
            <v>3701002131</v>
          </cell>
          <cell r="D34" t="str">
            <v>济南山大路の机架-7</v>
          </cell>
        </row>
        <row r="35">
          <cell r="A35">
            <v>32</v>
          </cell>
          <cell r="C35">
            <v>3701002132</v>
          </cell>
          <cell r="D35" t="str">
            <v>济南山大路の机架-8</v>
          </cell>
        </row>
        <row r="36">
          <cell r="A36">
            <v>33</v>
          </cell>
          <cell r="C36">
            <v>3701002133</v>
          </cell>
          <cell r="D36" t="str">
            <v>济南山大路の机架-9</v>
          </cell>
        </row>
        <row r="37">
          <cell r="A37">
            <v>34</v>
          </cell>
          <cell r="C37">
            <v>3701003111</v>
          </cell>
          <cell r="D37" t="str">
            <v>济南四里村の机架-1</v>
          </cell>
        </row>
        <row r="38">
          <cell r="A38">
            <v>35</v>
          </cell>
          <cell r="C38">
            <v>3701003112</v>
          </cell>
          <cell r="D38" t="str">
            <v>济南四里村の机架-2</v>
          </cell>
        </row>
        <row r="39">
          <cell r="A39">
            <v>36</v>
          </cell>
          <cell r="C39">
            <v>3701003113</v>
          </cell>
          <cell r="D39" t="str">
            <v>济南四里村の机架-3</v>
          </cell>
        </row>
        <row r="40">
          <cell r="A40">
            <v>37</v>
          </cell>
          <cell r="C40">
            <v>3701003121</v>
          </cell>
          <cell r="D40" t="str">
            <v>济南四里村の机架-4</v>
          </cell>
        </row>
        <row r="41">
          <cell r="A41">
            <v>38</v>
          </cell>
          <cell r="C41">
            <v>3701003122</v>
          </cell>
          <cell r="D41" t="str">
            <v>济南四里村の机架-5</v>
          </cell>
        </row>
        <row r="42">
          <cell r="A42">
            <v>39</v>
          </cell>
          <cell r="C42">
            <v>3701003123</v>
          </cell>
          <cell r="D42" t="str">
            <v>济南四里村の机架-6</v>
          </cell>
        </row>
        <row r="43">
          <cell r="A43">
            <v>40</v>
          </cell>
          <cell r="C43">
            <v>3701003131</v>
          </cell>
          <cell r="D43" t="str">
            <v>济南四里村の机架-7</v>
          </cell>
        </row>
        <row r="44">
          <cell r="A44">
            <v>41</v>
          </cell>
          <cell r="C44">
            <v>3701003132</v>
          </cell>
          <cell r="D44" t="str">
            <v>济南四里村の机架-8</v>
          </cell>
        </row>
        <row r="45">
          <cell r="A45">
            <v>42</v>
          </cell>
          <cell r="C45">
            <v>3701003133</v>
          </cell>
          <cell r="D45" t="str">
            <v>济南四里村の机架-9</v>
          </cell>
        </row>
        <row r="46">
          <cell r="A46">
            <v>43</v>
          </cell>
          <cell r="C46">
            <v>3701004111</v>
          </cell>
          <cell r="D46" t="str">
            <v>济南三枢纽の机架-1</v>
          </cell>
        </row>
        <row r="47">
          <cell r="A47">
            <v>44</v>
          </cell>
          <cell r="C47">
            <v>3701004112</v>
          </cell>
          <cell r="D47" t="str">
            <v>济南三枢纽の机架-2</v>
          </cell>
        </row>
        <row r="48">
          <cell r="A48">
            <v>45</v>
          </cell>
          <cell r="C48">
            <v>3701004113</v>
          </cell>
          <cell r="D48" t="str">
            <v>济南三枢纽の机架-3</v>
          </cell>
        </row>
        <row r="49">
          <cell r="A49">
            <v>46</v>
          </cell>
          <cell r="C49">
            <v>3701004121</v>
          </cell>
          <cell r="D49" t="str">
            <v>济南三枢纽の机架-4</v>
          </cell>
        </row>
        <row r="50">
          <cell r="A50">
            <v>47</v>
          </cell>
          <cell r="C50">
            <v>3701004122</v>
          </cell>
          <cell r="D50" t="str">
            <v>济南三枢纽の机架-5</v>
          </cell>
        </row>
        <row r="51">
          <cell r="A51">
            <v>48</v>
          </cell>
          <cell r="C51">
            <v>3701004123</v>
          </cell>
          <cell r="D51" t="str">
            <v>济南三枢纽の机架-6</v>
          </cell>
        </row>
        <row r="52">
          <cell r="A52">
            <v>49</v>
          </cell>
          <cell r="C52">
            <v>3701004131</v>
          </cell>
          <cell r="D52" t="str">
            <v>济南三枢纽の机架-7</v>
          </cell>
        </row>
        <row r="53">
          <cell r="A53">
            <v>50</v>
          </cell>
          <cell r="C53">
            <v>3701004132</v>
          </cell>
          <cell r="D53" t="str">
            <v>济南三枢纽の机架-8</v>
          </cell>
        </row>
        <row r="54">
          <cell r="A54">
            <v>51</v>
          </cell>
          <cell r="C54">
            <v>3701004133</v>
          </cell>
          <cell r="D54" t="str">
            <v>济南三枢纽の机架-9</v>
          </cell>
        </row>
        <row r="55">
          <cell r="A55">
            <v>52</v>
          </cell>
          <cell r="C55">
            <v>3701005111</v>
          </cell>
          <cell r="D55" t="str">
            <v>济南共青团の机架-1</v>
          </cell>
        </row>
        <row r="56">
          <cell r="A56">
            <v>53</v>
          </cell>
          <cell r="C56">
            <v>3701005112</v>
          </cell>
          <cell r="D56" t="str">
            <v>济南共青团の机架-2</v>
          </cell>
        </row>
        <row r="57">
          <cell r="A57">
            <v>54</v>
          </cell>
          <cell r="C57">
            <v>3701005113</v>
          </cell>
          <cell r="D57" t="str">
            <v>济南共青团の机架-3</v>
          </cell>
        </row>
        <row r="58">
          <cell r="A58">
            <v>55</v>
          </cell>
          <cell r="C58">
            <v>3701005121</v>
          </cell>
          <cell r="D58" t="str">
            <v>济南共青团の机架-4</v>
          </cell>
        </row>
        <row r="59">
          <cell r="A59">
            <v>56</v>
          </cell>
          <cell r="C59">
            <v>3701005122</v>
          </cell>
          <cell r="D59" t="str">
            <v>济南共青团の机架-5</v>
          </cell>
        </row>
        <row r="60">
          <cell r="A60">
            <v>57</v>
          </cell>
          <cell r="C60">
            <v>3701005123</v>
          </cell>
          <cell r="D60" t="str">
            <v>济南共青团の机架-6</v>
          </cell>
        </row>
        <row r="61">
          <cell r="A61">
            <v>58</v>
          </cell>
          <cell r="C61">
            <v>3701005131</v>
          </cell>
          <cell r="D61" t="str">
            <v>济南共青团の机架-7</v>
          </cell>
        </row>
        <row r="62">
          <cell r="A62">
            <v>59</v>
          </cell>
          <cell r="C62">
            <v>3701005132</v>
          </cell>
          <cell r="D62" t="str">
            <v>济南共青团の机架-8</v>
          </cell>
        </row>
        <row r="63">
          <cell r="A63">
            <v>60</v>
          </cell>
          <cell r="C63">
            <v>3701005133</v>
          </cell>
          <cell r="D63" t="str">
            <v>济南共青团の机架-9</v>
          </cell>
        </row>
        <row r="64">
          <cell r="A64">
            <v>61</v>
          </cell>
          <cell r="C64">
            <v>3701006111</v>
          </cell>
          <cell r="D64" t="str">
            <v>济南唐王の机架-1</v>
          </cell>
        </row>
        <row r="65">
          <cell r="A65">
            <v>62</v>
          </cell>
          <cell r="C65">
            <v>3701006112</v>
          </cell>
          <cell r="D65" t="str">
            <v>济南唐王の机架-2</v>
          </cell>
        </row>
        <row r="66">
          <cell r="A66">
            <v>63</v>
          </cell>
          <cell r="C66">
            <v>3701006113</v>
          </cell>
          <cell r="D66" t="str">
            <v>济南唐王の机架-3</v>
          </cell>
        </row>
        <row r="67">
          <cell r="A67">
            <v>64</v>
          </cell>
          <cell r="C67">
            <v>3701006121</v>
          </cell>
          <cell r="D67" t="str">
            <v>济南唐王の机架-4</v>
          </cell>
        </row>
        <row r="68">
          <cell r="A68">
            <v>65</v>
          </cell>
          <cell r="C68">
            <v>3701006122</v>
          </cell>
          <cell r="D68" t="str">
            <v>济南唐王の机架-5</v>
          </cell>
        </row>
        <row r="69">
          <cell r="A69">
            <v>66</v>
          </cell>
          <cell r="C69">
            <v>3701006123</v>
          </cell>
          <cell r="D69" t="str">
            <v>济南唐王の机架-6</v>
          </cell>
        </row>
        <row r="70">
          <cell r="A70">
            <v>67</v>
          </cell>
          <cell r="C70">
            <v>3701006131</v>
          </cell>
          <cell r="D70" t="str">
            <v>济南唐王の机架-7</v>
          </cell>
        </row>
        <row r="71">
          <cell r="A71">
            <v>68</v>
          </cell>
          <cell r="C71">
            <v>3701006132</v>
          </cell>
          <cell r="D71" t="str">
            <v>济南唐王の机架-8</v>
          </cell>
        </row>
        <row r="72">
          <cell r="A72">
            <v>69</v>
          </cell>
          <cell r="C72">
            <v>3701006133</v>
          </cell>
          <cell r="D72" t="str">
            <v>济南唐王の机架-9</v>
          </cell>
        </row>
        <row r="73">
          <cell r="A73">
            <v>70</v>
          </cell>
          <cell r="C73">
            <v>3701007111</v>
          </cell>
          <cell r="D73" t="str">
            <v>长清通信楼の机架-1</v>
          </cell>
        </row>
        <row r="74">
          <cell r="A74">
            <v>71</v>
          </cell>
          <cell r="C74">
            <v>3701007112</v>
          </cell>
          <cell r="D74" t="str">
            <v>长清通信楼の机架-2</v>
          </cell>
        </row>
        <row r="75">
          <cell r="A75">
            <v>72</v>
          </cell>
          <cell r="C75">
            <v>3701007113</v>
          </cell>
          <cell r="D75" t="str">
            <v>长清通信楼の机架-3</v>
          </cell>
        </row>
        <row r="76">
          <cell r="A76">
            <v>73</v>
          </cell>
          <cell r="C76">
            <v>3701007121</v>
          </cell>
          <cell r="D76" t="str">
            <v>长清通信楼の机架-4</v>
          </cell>
        </row>
        <row r="77">
          <cell r="A77">
            <v>74</v>
          </cell>
          <cell r="C77">
            <v>3701007122</v>
          </cell>
          <cell r="D77" t="str">
            <v>长清通信楼の机架-5</v>
          </cell>
        </row>
        <row r="78">
          <cell r="A78">
            <v>75</v>
          </cell>
          <cell r="C78">
            <v>3701007123</v>
          </cell>
          <cell r="D78" t="str">
            <v>长清通信楼の机架-6</v>
          </cell>
        </row>
        <row r="79">
          <cell r="A79">
            <v>76</v>
          </cell>
          <cell r="C79">
            <v>3701007131</v>
          </cell>
          <cell r="D79" t="str">
            <v>长清通信楼の机架-7</v>
          </cell>
        </row>
        <row r="80">
          <cell r="A80">
            <v>77</v>
          </cell>
          <cell r="C80">
            <v>3701007132</v>
          </cell>
          <cell r="D80" t="str">
            <v>长清通信楼の机架-8</v>
          </cell>
        </row>
        <row r="81">
          <cell r="A81">
            <v>78</v>
          </cell>
          <cell r="C81">
            <v>3701007133</v>
          </cell>
          <cell r="D81" t="str">
            <v>长清通信楼の机架-9</v>
          </cell>
        </row>
        <row r="82">
          <cell r="A82">
            <v>79</v>
          </cell>
          <cell r="C82">
            <v>3701008111</v>
          </cell>
          <cell r="D82" t="str">
            <v>长清万德の机架-1</v>
          </cell>
        </row>
        <row r="83">
          <cell r="A83">
            <v>80</v>
          </cell>
          <cell r="C83">
            <v>3701008112</v>
          </cell>
          <cell r="D83" t="str">
            <v>长清万德の机架-2</v>
          </cell>
        </row>
        <row r="84">
          <cell r="A84">
            <v>81</v>
          </cell>
          <cell r="C84">
            <v>3701008113</v>
          </cell>
          <cell r="D84" t="str">
            <v>长清万德の机架-3</v>
          </cell>
        </row>
        <row r="85">
          <cell r="A85">
            <v>82</v>
          </cell>
          <cell r="C85">
            <v>3701008121</v>
          </cell>
          <cell r="D85" t="str">
            <v>长清万德の机架-4</v>
          </cell>
        </row>
        <row r="86">
          <cell r="A86">
            <v>83</v>
          </cell>
          <cell r="C86">
            <v>3701008122</v>
          </cell>
          <cell r="D86" t="str">
            <v>长清万德の机架-5</v>
          </cell>
        </row>
        <row r="87">
          <cell r="A87">
            <v>84</v>
          </cell>
          <cell r="C87">
            <v>3701008123</v>
          </cell>
          <cell r="D87" t="str">
            <v>长清万德の机架-6</v>
          </cell>
        </row>
        <row r="88">
          <cell r="A88">
            <v>85</v>
          </cell>
          <cell r="C88">
            <v>3701008131</v>
          </cell>
          <cell r="D88" t="str">
            <v>长清万德の机架-7</v>
          </cell>
        </row>
        <row r="89">
          <cell r="A89">
            <v>86</v>
          </cell>
          <cell r="C89">
            <v>3701008132</v>
          </cell>
          <cell r="D89" t="str">
            <v>长清万德の机架-8</v>
          </cell>
        </row>
        <row r="90">
          <cell r="A90">
            <v>87</v>
          </cell>
          <cell r="C90">
            <v>3701008133</v>
          </cell>
          <cell r="D90" t="str">
            <v>长清万德の机架-9</v>
          </cell>
        </row>
        <row r="91">
          <cell r="A91">
            <v>88</v>
          </cell>
          <cell r="C91">
            <v>3701009111</v>
          </cell>
          <cell r="D91" t="str">
            <v>平阴西基站の机架-1</v>
          </cell>
        </row>
        <row r="92">
          <cell r="A92">
            <v>89</v>
          </cell>
          <cell r="C92">
            <v>3701009112</v>
          </cell>
          <cell r="D92" t="str">
            <v>平阴西基站の机架-2</v>
          </cell>
        </row>
        <row r="93">
          <cell r="A93">
            <v>90</v>
          </cell>
          <cell r="C93">
            <v>3701009113</v>
          </cell>
          <cell r="D93" t="str">
            <v>平阴西基站の机架-3</v>
          </cell>
        </row>
        <row r="94">
          <cell r="A94">
            <v>91</v>
          </cell>
          <cell r="C94">
            <v>3701009121</v>
          </cell>
          <cell r="D94" t="str">
            <v>平阴西基站の机架-4</v>
          </cell>
        </row>
        <row r="95">
          <cell r="A95">
            <v>92</v>
          </cell>
          <cell r="C95">
            <v>3701009122</v>
          </cell>
          <cell r="D95" t="str">
            <v>平阴西基站の机架-5</v>
          </cell>
        </row>
        <row r="96">
          <cell r="A96">
            <v>93</v>
          </cell>
          <cell r="C96">
            <v>3701009123</v>
          </cell>
          <cell r="D96" t="str">
            <v>平阴西基站の机架-6</v>
          </cell>
        </row>
        <row r="97">
          <cell r="A97">
            <v>94</v>
          </cell>
          <cell r="C97">
            <v>3701009131</v>
          </cell>
          <cell r="D97" t="str">
            <v>平阴西基站の机架-7</v>
          </cell>
        </row>
        <row r="98">
          <cell r="A98">
            <v>95</v>
          </cell>
          <cell r="C98">
            <v>3701009132</v>
          </cell>
          <cell r="D98" t="str">
            <v>平阴西基站の机架-8</v>
          </cell>
        </row>
        <row r="99">
          <cell r="A99">
            <v>96</v>
          </cell>
          <cell r="C99">
            <v>3701009133</v>
          </cell>
          <cell r="D99" t="str">
            <v>平阴西基站の机架-9</v>
          </cell>
        </row>
        <row r="100">
          <cell r="A100">
            <v>97</v>
          </cell>
          <cell r="C100">
            <v>3701010111</v>
          </cell>
          <cell r="D100" t="str">
            <v>平阴の机架-1</v>
          </cell>
        </row>
        <row r="101">
          <cell r="A101">
            <v>98</v>
          </cell>
          <cell r="C101">
            <v>3701010112</v>
          </cell>
          <cell r="D101" t="str">
            <v>平阴の机架-2</v>
          </cell>
        </row>
        <row r="102">
          <cell r="A102">
            <v>99</v>
          </cell>
          <cell r="C102">
            <v>3701010113</v>
          </cell>
          <cell r="D102" t="str">
            <v>平阴の机架-3</v>
          </cell>
        </row>
        <row r="103">
          <cell r="A103">
            <v>100</v>
          </cell>
          <cell r="C103">
            <v>3701010121</v>
          </cell>
          <cell r="D103" t="str">
            <v>平阴の机架-4</v>
          </cell>
        </row>
        <row r="104">
          <cell r="A104">
            <v>101</v>
          </cell>
          <cell r="C104">
            <v>3701010122</v>
          </cell>
          <cell r="D104" t="str">
            <v>平阴の机架-5</v>
          </cell>
        </row>
        <row r="105">
          <cell r="A105">
            <v>102</v>
          </cell>
          <cell r="C105">
            <v>3701010123</v>
          </cell>
          <cell r="D105" t="str">
            <v>平阴の机架-6</v>
          </cell>
        </row>
        <row r="106">
          <cell r="A106">
            <v>103</v>
          </cell>
          <cell r="C106">
            <v>3701010131</v>
          </cell>
          <cell r="D106" t="str">
            <v>平阴の机架-7</v>
          </cell>
        </row>
        <row r="107">
          <cell r="A107">
            <v>104</v>
          </cell>
          <cell r="C107">
            <v>3701010132</v>
          </cell>
          <cell r="D107" t="str">
            <v>平阴の机架-8</v>
          </cell>
        </row>
        <row r="108">
          <cell r="A108">
            <v>105</v>
          </cell>
          <cell r="C108">
            <v>3701010133</v>
          </cell>
          <cell r="D108" t="str">
            <v>平阴の机架-9</v>
          </cell>
        </row>
        <row r="109">
          <cell r="A109">
            <v>106</v>
          </cell>
          <cell r="C109">
            <v>3701011111</v>
          </cell>
          <cell r="D109" t="str">
            <v>明水の机架-1</v>
          </cell>
        </row>
        <row r="110">
          <cell r="A110">
            <v>107</v>
          </cell>
          <cell r="C110">
            <v>3701011112</v>
          </cell>
          <cell r="D110" t="str">
            <v>明水の机架-2</v>
          </cell>
        </row>
        <row r="111">
          <cell r="A111">
            <v>108</v>
          </cell>
          <cell r="C111">
            <v>3701011113</v>
          </cell>
          <cell r="D111" t="str">
            <v>明水の机架-3</v>
          </cell>
        </row>
        <row r="112">
          <cell r="A112">
            <v>109</v>
          </cell>
          <cell r="C112">
            <v>3701011121</v>
          </cell>
          <cell r="D112" t="str">
            <v>明水の机架-4</v>
          </cell>
        </row>
        <row r="113">
          <cell r="A113">
            <v>110</v>
          </cell>
          <cell r="C113">
            <v>3701011122</v>
          </cell>
          <cell r="D113" t="str">
            <v>明水の机架-5</v>
          </cell>
        </row>
        <row r="114">
          <cell r="A114">
            <v>111</v>
          </cell>
          <cell r="C114">
            <v>3701011123</v>
          </cell>
          <cell r="D114" t="str">
            <v>明水の机架-6</v>
          </cell>
        </row>
        <row r="115">
          <cell r="A115">
            <v>112</v>
          </cell>
          <cell r="C115">
            <v>3701011131</v>
          </cell>
          <cell r="D115" t="str">
            <v>明水の机架-7</v>
          </cell>
        </row>
        <row r="116">
          <cell r="A116">
            <v>113</v>
          </cell>
          <cell r="C116">
            <v>3701011132</v>
          </cell>
          <cell r="D116" t="str">
            <v>明水の机架-8</v>
          </cell>
        </row>
        <row r="117">
          <cell r="A117">
            <v>114</v>
          </cell>
          <cell r="C117">
            <v>3701011133</v>
          </cell>
          <cell r="D117" t="str">
            <v>明水の机架-9</v>
          </cell>
        </row>
        <row r="118">
          <cell r="A118">
            <v>115</v>
          </cell>
          <cell r="C118">
            <v>3701012111</v>
          </cell>
          <cell r="D118" t="str">
            <v>章丘普集の机架-1</v>
          </cell>
        </row>
        <row r="119">
          <cell r="A119">
            <v>116</v>
          </cell>
          <cell r="C119">
            <v>3701012112</v>
          </cell>
          <cell r="D119" t="str">
            <v>章丘普集の机架-2</v>
          </cell>
        </row>
        <row r="120">
          <cell r="A120">
            <v>117</v>
          </cell>
          <cell r="C120">
            <v>3701012113</v>
          </cell>
          <cell r="D120" t="str">
            <v>章丘普集の机架-3</v>
          </cell>
        </row>
        <row r="121">
          <cell r="A121">
            <v>118</v>
          </cell>
          <cell r="C121">
            <v>3701012121</v>
          </cell>
          <cell r="D121" t="str">
            <v>章丘普集の机架-4</v>
          </cell>
        </row>
        <row r="122">
          <cell r="A122">
            <v>119</v>
          </cell>
          <cell r="C122">
            <v>3701012122</v>
          </cell>
          <cell r="D122" t="str">
            <v>章丘普集の机架-5</v>
          </cell>
        </row>
        <row r="123">
          <cell r="A123">
            <v>120</v>
          </cell>
          <cell r="C123">
            <v>3701012123</v>
          </cell>
          <cell r="D123" t="str">
            <v>章丘普集の机架-6</v>
          </cell>
        </row>
        <row r="124">
          <cell r="A124">
            <v>121</v>
          </cell>
          <cell r="C124">
            <v>3701012131</v>
          </cell>
          <cell r="D124" t="str">
            <v>章丘普集の机架-7</v>
          </cell>
        </row>
        <row r="125">
          <cell r="A125">
            <v>122</v>
          </cell>
          <cell r="C125">
            <v>3701012132</v>
          </cell>
          <cell r="D125" t="str">
            <v>章丘普集の机架-8</v>
          </cell>
        </row>
        <row r="126">
          <cell r="A126">
            <v>123</v>
          </cell>
          <cell r="C126">
            <v>3701012133</v>
          </cell>
          <cell r="D126" t="str">
            <v>章丘普集の机架-9</v>
          </cell>
        </row>
        <row r="127">
          <cell r="A127">
            <v>124</v>
          </cell>
          <cell r="C127">
            <v>3702001111</v>
          </cell>
          <cell r="D127" t="str">
            <v>青岛振华路の机架-1</v>
          </cell>
        </row>
        <row r="128">
          <cell r="A128">
            <v>125</v>
          </cell>
          <cell r="C128">
            <v>3702001112</v>
          </cell>
          <cell r="D128" t="str">
            <v>青岛振华路の机架-2</v>
          </cell>
        </row>
        <row r="129">
          <cell r="A129">
            <v>126</v>
          </cell>
          <cell r="C129">
            <v>3702001113</v>
          </cell>
          <cell r="D129" t="str">
            <v>青岛振华路の机架-3</v>
          </cell>
        </row>
        <row r="130">
          <cell r="A130">
            <v>127</v>
          </cell>
          <cell r="C130">
            <v>3702001121</v>
          </cell>
          <cell r="D130" t="str">
            <v>青岛振华路の机架-4</v>
          </cell>
        </row>
        <row r="131">
          <cell r="A131">
            <v>128</v>
          </cell>
          <cell r="C131">
            <v>3702001122</v>
          </cell>
          <cell r="D131" t="str">
            <v>青岛振华路の机架-5</v>
          </cell>
        </row>
        <row r="132">
          <cell r="A132">
            <v>129</v>
          </cell>
          <cell r="C132">
            <v>3702001123</v>
          </cell>
          <cell r="D132" t="str">
            <v>青岛振华路の机架-6</v>
          </cell>
        </row>
        <row r="133">
          <cell r="A133">
            <v>130</v>
          </cell>
          <cell r="C133">
            <v>3702001131</v>
          </cell>
          <cell r="D133" t="str">
            <v>青岛振华路の机架-7</v>
          </cell>
        </row>
        <row r="134">
          <cell r="A134">
            <v>131</v>
          </cell>
          <cell r="C134">
            <v>3702001132</v>
          </cell>
          <cell r="D134" t="str">
            <v>青岛振华路の机架-8</v>
          </cell>
        </row>
        <row r="135">
          <cell r="A135">
            <v>132</v>
          </cell>
          <cell r="C135">
            <v>3702001133</v>
          </cell>
          <cell r="D135" t="str">
            <v>青岛振华路の机架-9</v>
          </cell>
        </row>
        <row r="136">
          <cell r="A136">
            <v>133</v>
          </cell>
          <cell r="C136">
            <v>3702001211</v>
          </cell>
          <cell r="D136" t="str">
            <v>青岛振华路の机架-10</v>
          </cell>
        </row>
        <row r="137">
          <cell r="A137">
            <v>134</v>
          </cell>
          <cell r="C137">
            <v>3702001212</v>
          </cell>
          <cell r="D137" t="str">
            <v>青岛振华路の机架-11</v>
          </cell>
        </row>
        <row r="138">
          <cell r="A138">
            <v>135</v>
          </cell>
          <cell r="C138">
            <v>3702001213</v>
          </cell>
          <cell r="D138" t="str">
            <v>青岛振华路の机架-12</v>
          </cell>
        </row>
        <row r="139">
          <cell r="A139">
            <v>136</v>
          </cell>
          <cell r="C139">
            <v>3702001221</v>
          </cell>
          <cell r="D139" t="str">
            <v>青岛振华路の机架-13</v>
          </cell>
        </row>
        <row r="140">
          <cell r="A140">
            <v>137</v>
          </cell>
          <cell r="C140">
            <v>3702001222</v>
          </cell>
          <cell r="D140" t="str">
            <v>青岛振华路の机架-14</v>
          </cell>
        </row>
        <row r="141">
          <cell r="A141">
            <v>138</v>
          </cell>
          <cell r="C141">
            <v>3702001223</v>
          </cell>
          <cell r="D141" t="str">
            <v>青岛振华路の机架-15</v>
          </cell>
        </row>
        <row r="142">
          <cell r="A142">
            <v>139</v>
          </cell>
          <cell r="C142">
            <v>3702001231</v>
          </cell>
          <cell r="D142" t="str">
            <v>青岛振华路の机架-16</v>
          </cell>
        </row>
        <row r="143">
          <cell r="A143">
            <v>140</v>
          </cell>
          <cell r="C143">
            <v>3702001232</v>
          </cell>
          <cell r="D143" t="str">
            <v>青岛振华路の机架-17</v>
          </cell>
        </row>
        <row r="144">
          <cell r="A144">
            <v>141</v>
          </cell>
          <cell r="C144">
            <v>3702001233</v>
          </cell>
          <cell r="D144" t="str">
            <v>青岛振华路の机架-18</v>
          </cell>
        </row>
        <row r="145">
          <cell r="A145">
            <v>142</v>
          </cell>
          <cell r="C145">
            <v>3702002111</v>
          </cell>
          <cell r="D145" t="str">
            <v>青岛山东路の机架-1</v>
          </cell>
        </row>
        <row r="146">
          <cell r="A146">
            <v>143</v>
          </cell>
          <cell r="C146">
            <v>3702002112</v>
          </cell>
          <cell r="D146" t="str">
            <v>青岛山东路の机架-2</v>
          </cell>
        </row>
        <row r="147">
          <cell r="A147">
            <v>144</v>
          </cell>
          <cell r="C147">
            <v>3702002113</v>
          </cell>
          <cell r="D147" t="str">
            <v>青岛山东路の机架-3</v>
          </cell>
        </row>
        <row r="148">
          <cell r="A148">
            <v>145</v>
          </cell>
          <cell r="C148">
            <v>3702002121</v>
          </cell>
          <cell r="D148" t="str">
            <v>青岛山东路の机架-4</v>
          </cell>
        </row>
        <row r="149">
          <cell r="A149">
            <v>146</v>
          </cell>
          <cell r="C149">
            <v>3702002122</v>
          </cell>
          <cell r="D149" t="str">
            <v>青岛山东路の机架-5</v>
          </cell>
        </row>
        <row r="150">
          <cell r="A150">
            <v>147</v>
          </cell>
          <cell r="C150">
            <v>3702002123</v>
          </cell>
          <cell r="D150" t="str">
            <v>青岛山东路の机架-6</v>
          </cell>
        </row>
        <row r="151">
          <cell r="A151">
            <v>148</v>
          </cell>
          <cell r="C151">
            <v>3702002131</v>
          </cell>
          <cell r="D151" t="str">
            <v>青岛山东路の机架-7</v>
          </cell>
        </row>
        <row r="152">
          <cell r="A152">
            <v>149</v>
          </cell>
          <cell r="C152">
            <v>3702002132</v>
          </cell>
          <cell r="D152" t="str">
            <v>青岛山东路の机架-8</v>
          </cell>
        </row>
        <row r="153">
          <cell r="A153">
            <v>150</v>
          </cell>
          <cell r="C153">
            <v>3702002133</v>
          </cell>
          <cell r="D153" t="str">
            <v>青岛山东路の机架-9</v>
          </cell>
        </row>
        <row r="154">
          <cell r="A154">
            <v>151</v>
          </cell>
          <cell r="C154">
            <v>3702003111</v>
          </cell>
          <cell r="D154" t="str">
            <v>青岛香江路の机架-1</v>
          </cell>
        </row>
        <row r="155">
          <cell r="A155">
            <v>152</v>
          </cell>
          <cell r="C155">
            <v>3702003112</v>
          </cell>
          <cell r="D155" t="str">
            <v>青岛香江路の机架-2</v>
          </cell>
        </row>
        <row r="156">
          <cell r="A156">
            <v>153</v>
          </cell>
          <cell r="C156">
            <v>3702003113</v>
          </cell>
          <cell r="D156" t="str">
            <v>青岛香江路の机架-3</v>
          </cell>
        </row>
        <row r="157">
          <cell r="A157">
            <v>154</v>
          </cell>
          <cell r="C157">
            <v>3702003121</v>
          </cell>
          <cell r="D157" t="str">
            <v>青岛香江路の机架-4</v>
          </cell>
        </row>
        <row r="158">
          <cell r="A158">
            <v>155</v>
          </cell>
          <cell r="C158">
            <v>3702003122</v>
          </cell>
          <cell r="D158" t="str">
            <v>青岛香江路の机架-5</v>
          </cell>
        </row>
        <row r="159">
          <cell r="A159">
            <v>156</v>
          </cell>
          <cell r="C159">
            <v>3702003123</v>
          </cell>
          <cell r="D159" t="str">
            <v>青岛香江路の机架-6</v>
          </cell>
        </row>
        <row r="160">
          <cell r="A160">
            <v>157</v>
          </cell>
          <cell r="C160">
            <v>3702003131</v>
          </cell>
          <cell r="D160" t="str">
            <v>青岛香江路の机架-7</v>
          </cell>
        </row>
        <row r="161">
          <cell r="A161">
            <v>158</v>
          </cell>
          <cell r="C161">
            <v>3702003132</v>
          </cell>
          <cell r="D161" t="str">
            <v>青岛香江路の机架-8</v>
          </cell>
        </row>
        <row r="162">
          <cell r="A162">
            <v>159</v>
          </cell>
          <cell r="C162">
            <v>3702003133</v>
          </cell>
          <cell r="D162" t="str">
            <v>青岛香江路の机架-9</v>
          </cell>
        </row>
        <row r="163">
          <cell r="A163">
            <v>160</v>
          </cell>
          <cell r="C163">
            <v>3702004111</v>
          </cell>
          <cell r="D163" t="str">
            <v>青岛辽阳东路の机架-1</v>
          </cell>
        </row>
        <row r="164">
          <cell r="A164">
            <v>161</v>
          </cell>
          <cell r="C164">
            <v>3702004112</v>
          </cell>
          <cell r="D164" t="str">
            <v>青岛辽阳东路の机架-2</v>
          </cell>
        </row>
        <row r="165">
          <cell r="A165">
            <v>162</v>
          </cell>
          <cell r="C165">
            <v>3702004113</v>
          </cell>
          <cell r="D165" t="str">
            <v>青岛辽阳东路の机架-3</v>
          </cell>
        </row>
        <row r="166">
          <cell r="A166">
            <v>163</v>
          </cell>
          <cell r="C166">
            <v>3702004121</v>
          </cell>
          <cell r="D166" t="str">
            <v>青岛辽阳东路の机架-4</v>
          </cell>
        </row>
        <row r="167">
          <cell r="A167">
            <v>164</v>
          </cell>
          <cell r="C167">
            <v>3702004122</v>
          </cell>
          <cell r="D167" t="str">
            <v>青岛辽阳东路の机架-5</v>
          </cell>
        </row>
        <row r="168">
          <cell r="A168">
            <v>165</v>
          </cell>
          <cell r="C168">
            <v>3702004123</v>
          </cell>
          <cell r="D168" t="str">
            <v>青岛辽阳东路の机架-6</v>
          </cell>
        </row>
        <row r="169">
          <cell r="A169">
            <v>166</v>
          </cell>
          <cell r="C169">
            <v>3702004131</v>
          </cell>
          <cell r="D169" t="str">
            <v>青岛辽阳东路の机架-7</v>
          </cell>
        </row>
        <row r="170">
          <cell r="A170">
            <v>167</v>
          </cell>
          <cell r="C170">
            <v>3702004132</v>
          </cell>
          <cell r="D170" t="str">
            <v>青岛辽阳东路の机架-8</v>
          </cell>
        </row>
        <row r="171">
          <cell r="A171">
            <v>168</v>
          </cell>
          <cell r="C171">
            <v>3702004133</v>
          </cell>
          <cell r="D171" t="str">
            <v>青岛辽阳东路の机架-9</v>
          </cell>
        </row>
        <row r="172">
          <cell r="A172">
            <v>169</v>
          </cell>
          <cell r="C172">
            <v>3702005111</v>
          </cell>
          <cell r="D172" t="str">
            <v>胶州马店の机架-1</v>
          </cell>
        </row>
        <row r="173">
          <cell r="A173">
            <v>170</v>
          </cell>
          <cell r="C173">
            <v>3702005112</v>
          </cell>
          <cell r="D173" t="str">
            <v>胶州马店の机架-2</v>
          </cell>
        </row>
        <row r="174">
          <cell r="A174">
            <v>171</v>
          </cell>
          <cell r="C174">
            <v>3702005113</v>
          </cell>
          <cell r="D174" t="str">
            <v>胶州马店の机架-3</v>
          </cell>
        </row>
        <row r="175">
          <cell r="A175">
            <v>172</v>
          </cell>
          <cell r="C175">
            <v>3702005121</v>
          </cell>
          <cell r="D175" t="str">
            <v>胶州马店の机架-4</v>
          </cell>
        </row>
        <row r="176">
          <cell r="A176">
            <v>173</v>
          </cell>
          <cell r="C176">
            <v>3702005122</v>
          </cell>
          <cell r="D176" t="str">
            <v>胶州马店の机架-5</v>
          </cell>
        </row>
        <row r="177">
          <cell r="A177">
            <v>174</v>
          </cell>
          <cell r="C177">
            <v>3702005123</v>
          </cell>
          <cell r="D177" t="str">
            <v>胶州马店の机架-6</v>
          </cell>
        </row>
        <row r="178">
          <cell r="A178">
            <v>175</v>
          </cell>
          <cell r="C178">
            <v>3702005131</v>
          </cell>
          <cell r="D178" t="str">
            <v>胶州马店の机架-7</v>
          </cell>
        </row>
        <row r="179">
          <cell r="A179">
            <v>176</v>
          </cell>
          <cell r="C179">
            <v>3702005132</v>
          </cell>
          <cell r="D179" t="str">
            <v>胶州马店の机架-8</v>
          </cell>
        </row>
        <row r="180">
          <cell r="A180">
            <v>177</v>
          </cell>
          <cell r="C180">
            <v>3702005133</v>
          </cell>
          <cell r="D180" t="str">
            <v>胶州马店の机架-9</v>
          </cell>
        </row>
        <row r="181">
          <cell r="A181">
            <v>178</v>
          </cell>
          <cell r="C181">
            <v>3702006111</v>
          </cell>
          <cell r="D181" t="str">
            <v>胶州营房の机架-1</v>
          </cell>
        </row>
        <row r="182">
          <cell r="A182">
            <v>179</v>
          </cell>
          <cell r="C182">
            <v>3702006112</v>
          </cell>
          <cell r="D182" t="str">
            <v>胶州营房の机架-2</v>
          </cell>
        </row>
        <row r="183">
          <cell r="A183">
            <v>180</v>
          </cell>
          <cell r="C183">
            <v>3702006113</v>
          </cell>
          <cell r="D183" t="str">
            <v>胶州营房の机架-3</v>
          </cell>
        </row>
        <row r="184">
          <cell r="A184">
            <v>181</v>
          </cell>
          <cell r="C184">
            <v>3702006121</v>
          </cell>
          <cell r="D184" t="str">
            <v>胶州营房の机架-4</v>
          </cell>
        </row>
        <row r="185">
          <cell r="A185">
            <v>182</v>
          </cell>
          <cell r="C185">
            <v>3702006122</v>
          </cell>
          <cell r="D185" t="str">
            <v>胶州营房の机架-5</v>
          </cell>
        </row>
        <row r="186">
          <cell r="A186">
            <v>183</v>
          </cell>
          <cell r="C186">
            <v>3702006123</v>
          </cell>
          <cell r="D186" t="str">
            <v>胶州营房の机架-6</v>
          </cell>
        </row>
        <row r="187">
          <cell r="A187">
            <v>184</v>
          </cell>
          <cell r="C187">
            <v>3702006131</v>
          </cell>
          <cell r="D187" t="str">
            <v>胶州营房の机架-7</v>
          </cell>
        </row>
        <row r="188">
          <cell r="A188">
            <v>185</v>
          </cell>
          <cell r="C188">
            <v>3702006132</v>
          </cell>
          <cell r="D188" t="str">
            <v>胶州营房の机架-8</v>
          </cell>
        </row>
        <row r="189">
          <cell r="A189">
            <v>186</v>
          </cell>
          <cell r="C189">
            <v>3702006133</v>
          </cell>
          <cell r="D189" t="str">
            <v>胶州营房の机架-9</v>
          </cell>
        </row>
        <row r="190">
          <cell r="A190">
            <v>187</v>
          </cell>
          <cell r="C190">
            <v>3702007111</v>
          </cell>
          <cell r="D190" t="str">
            <v>胶州九龙の机架-1</v>
          </cell>
        </row>
        <row r="191">
          <cell r="A191">
            <v>188</v>
          </cell>
          <cell r="C191">
            <v>3702007112</v>
          </cell>
          <cell r="D191" t="str">
            <v>胶州九龙の机架-2</v>
          </cell>
        </row>
        <row r="192">
          <cell r="A192">
            <v>189</v>
          </cell>
          <cell r="C192">
            <v>3702007113</v>
          </cell>
          <cell r="D192" t="str">
            <v>胶州九龙の机架-3</v>
          </cell>
        </row>
        <row r="193">
          <cell r="A193">
            <v>190</v>
          </cell>
          <cell r="C193">
            <v>3702007121</v>
          </cell>
          <cell r="D193" t="str">
            <v>胶州九龙の机架-4</v>
          </cell>
        </row>
        <row r="194">
          <cell r="A194">
            <v>191</v>
          </cell>
          <cell r="C194">
            <v>3702007122</v>
          </cell>
          <cell r="D194" t="str">
            <v>胶州九龙の机架-5</v>
          </cell>
        </row>
        <row r="195">
          <cell r="A195">
            <v>192</v>
          </cell>
          <cell r="C195">
            <v>3702007123</v>
          </cell>
          <cell r="D195" t="str">
            <v>胶州九龙の机架-6</v>
          </cell>
        </row>
        <row r="196">
          <cell r="A196">
            <v>193</v>
          </cell>
          <cell r="C196">
            <v>3702007131</v>
          </cell>
          <cell r="D196" t="str">
            <v>胶州九龙の机架-7</v>
          </cell>
        </row>
        <row r="197">
          <cell r="A197">
            <v>194</v>
          </cell>
          <cell r="C197">
            <v>3702007132</v>
          </cell>
          <cell r="D197" t="str">
            <v>胶州九龙の机架-8</v>
          </cell>
        </row>
        <row r="198">
          <cell r="A198">
            <v>195</v>
          </cell>
          <cell r="C198">
            <v>3702007133</v>
          </cell>
          <cell r="D198" t="str">
            <v>胶州九龙の机架-9</v>
          </cell>
        </row>
        <row r="199">
          <cell r="A199">
            <v>196</v>
          </cell>
          <cell r="C199">
            <v>3702008111</v>
          </cell>
          <cell r="D199" t="str">
            <v>城阳の机架-1</v>
          </cell>
        </row>
        <row r="200">
          <cell r="A200">
            <v>197</v>
          </cell>
          <cell r="C200">
            <v>3702008112</v>
          </cell>
          <cell r="D200" t="str">
            <v>城阳の机架-2</v>
          </cell>
        </row>
        <row r="201">
          <cell r="A201">
            <v>198</v>
          </cell>
          <cell r="C201">
            <v>3702008113</v>
          </cell>
          <cell r="D201" t="str">
            <v>城阳の机架-3</v>
          </cell>
        </row>
        <row r="202">
          <cell r="A202">
            <v>199</v>
          </cell>
          <cell r="C202">
            <v>3702008121</v>
          </cell>
          <cell r="D202" t="str">
            <v>城阳の机架-4</v>
          </cell>
        </row>
        <row r="203">
          <cell r="A203">
            <v>200</v>
          </cell>
          <cell r="C203">
            <v>3702008122</v>
          </cell>
          <cell r="D203" t="str">
            <v>城阳の机架-5</v>
          </cell>
        </row>
        <row r="204">
          <cell r="A204">
            <v>201</v>
          </cell>
          <cell r="C204">
            <v>3702008123</v>
          </cell>
          <cell r="D204" t="str">
            <v>城阳の机架-6</v>
          </cell>
        </row>
        <row r="205">
          <cell r="A205">
            <v>202</v>
          </cell>
          <cell r="C205">
            <v>3702008131</v>
          </cell>
          <cell r="D205" t="str">
            <v>城阳の机架-7</v>
          </cell>
        </row>
        <row r="206">
          <cell r="A206">
            <v>203</v>
          </cell>
          <cell r="C206">
            <v>3702008132</v>
          </cell>
          <cell r="D206" t="str">
            <v>城阳の机架-8</v>
          </cell>
        </row>
        <row r="207">
          <cell r="A207">
            <v>204</v>
          </cell>
          <cell r="C207">
            <v>3702008133</v>
          </cell>
          <cell r="D207" t="str">
            <v>城阳の机架-9</v>
          </cell>
        </row>
        <row r="208">
          <cell r="A208">
            <v>205</v>
          </cell>
          <cell r="C208">
            <v>3702009111</v>
          </cell>
          <cell r="D208" t="str">
            <v>即墨南泉の机架-1</v>
          </cell>
        </row>
        <row r="209">
          <cell r="A209">
            <v>206</v>
          </cell>
          <cell r="C209">
            <v>3702009112</v>
          </cell>
          <cell r="D209" t="str">
            <v>即墨南泉の机架-2</v>
          </cell>
        </row>
        <row r="210">
          <cell r="A210">
            <v>207</v>
          </cell>
          <cell r="C210">
            <v>3702009113</v>
          </cell>
          <cell r="D210" t="str">
            <v>即墨南泉の机架-3</v>
          </cell>
        </row>
        <row r="211">
          <cell r="A211">
            <v>208</v>
          </cell>
          <cell r="C211">
            <v>3702009121</v>
          </cell>
          <cell r="D211" t="str">
            <v>即墨南泉の机架-4</v>
          </cell>
        </row>
        <row r="212">
          <cell r="A212">
            <v>209</v>
          </cell>
          <cell r="C212">
            <v>3702009122</v>
          </cell>
          <cell r="D212" t="str">
            <v>即墨南泉の机架-5</v>
          </cell>
        </row>
        <row r="213">
          <cell r="A213">
            <v>210</v>
          </cell>
          <cell r="C213">
            <v>3702009123</v>
          </cell>
          <cell r="D213" t="str">
            <v>即墨南泉の机架-6</v>
          </cell>
        </row>
        <row r="214">
          <cell r="A214">
            <v>211</v>
          </cell>
          <cell r="C214">
            <v>3702009131</v>
          </cell>
          <cell r="D214" t="str">
            <v>即墨南泉の机架-7</v>
          </cell>
        </row>
        <row r="215">
          <cell r="A215">
            <v>212</v>
          </cell>
          <cell r="C215">
            <v>3702009132</v>
          </cell>
          <cell r="D215" t="str">
            <v>即墨南泉の机架-8</v>
          </cell>
        </row>
        <row r="216">
          <cell r="A216">
            <v>213</v>
          </cell>
          <cell r="C216">
            <v>3702009133</v>
          </cell>
          <cell r="D216" t="str">
            <v>即墨南泉の机架-9</v>
          </cell>
        </row>
        <row r="217">
          <cell r="A217">
            <v>214</v>
          </cell>
          <cell r="C217">
            <v>3702010111</v>
          </cell>
          <cell r="D217" t="str">
            <v>即墨蓝村の机架-1</v>
          </cell>
        </row>
        <row r="218">
          <cell r="A218">
            <v>215</v>
          </cell>
          <cell r="C218">
            <v>3702010112</v>
          </cell>
          <cell r="D218" t="str">
            <v>即墨蓝村の机架-2</v>
          </cell>
        </row>
        <row r="219">
          <cell r="A219">
            <v>216</v>
          </cell>
          <cell r="C219">
            <v>3702010113</v>
          </cell>
          <cell r="D219" t="str">
            <v>即墨蓝村の机架-3</v>
          </cell>
        </row>
        <row r="220">
          <cell r="A220">
            <v>217</v>
          </cell>
          <cell r="C220">
            <v>3702010121</v>
          </cell>
          <cell r="D220" t="str">
            <v>即墨蓝村の机架-4</v>
          </cell>
        </row>
        <row r="221">
          <cell r="A221">
            <v>218</v>
          </cell>
          <cell r="C221">
            <v>3702010122</v>
          </cell>
          <cell r="D221" t="str">
            <v>即墨蓝村の机架-5</v>
          </cell>
        </row>
        <row r="222">
          <cell r="A222">
            <v>219</v>
          </cell>
          <cell r="C222">
            <v>3702010123</v>
          </cell>
          <cell r="D222" t="str">
            <v>即墨蓝村の机架-6</v>
          </cell>
        </row>
        <row r="223">
          <cell r="A223">
            <v>220</v>
          </cell>
          <cell r="C223">
            <v>3702010131</v>
          </cell>
          <cell r="D223" t="str">
            <v>即墨蓝村の机架-7</v>
          </cell>
        </row>
        <row r="224">
          <cell r="A224">
            <v>221</v>
          </cell>
          <cell r="C224">
            <v>3702010132</v>
          </cell>
          <cell r="D224" t="str">
            <v>即墨蓝村の机架-8</v>
          </cell>
        </row>
        <row r="225">
          <cell r="A225">
            <v>222</v>
          </cell>
          <cell r="C225">
            <v>3702010133</v>
          </cell>
          <cell r="D225" t="str">
            <v>即墨蓝村の机架-9</v>
          </cell>
        </row>
        <row r="226">
          <cell r="A226">
            <v>223</v>
          </cell>
          <cell r="C226">
            <v>3702011111</v>
          </cell>
          <cell r="D226" t="str">
            <v>即墨振华街の机架-1</v>
          </cell>
        </row>
        <row r="227">
          <cell r="A227">
            <v>224</v>
          </cell>
          <cell r="C227">
            <v>3702011112</v>
          </cell>
          <cell r="D227" t="str">
            <v>即墨振华街の机架-2</v>
          </cell>
        </row>
        <row r="228">
          <cell r="A228">
            <v>225</v>
          </cell>
          <cell r="C228">
            <v>3702011113</v>
          </cell>
          <cell r="D228" t="str">
            <v>即墨振华街の机架-3</v>
          </cell>
        </row>
        <row r="229">
          <cell r="A229">
            <v>226</v>
          </cell>
          <cell r="C229">
            <v>3702011121</v>
          </cell>
          <cell r="D229" t="str">
            <v>即墨振华街の机架-4</v>
          </cell>
        </row>
        <row r="230">
          <cell r="A230">
            <v>227</v>
          </cell>
          <cell r="C230">
            <v>3702011122</v>
          </cell>
          <cell r="D230" t="str">
            <v>即墨振华街の机架-5</v>
          </cell>
        </row>
        <row r="231">
          <cell r="A231">
            <v>228</v>
          </cell>
          <cell r="C231">
            <v>3702011123</v>
          </cell>
          <cell r="D231" t="str">
            <v>即墨振华街の机架-6</v>
          </cell>
        </row>
        <row r="232">
          <cell r="A232">
            <v>229</v>
          </cell>
          <cell r="C232">
            <v>3702011131</v>
          </cell>
          <cell r="D232" t="str">
            <v>即墨振华街の机架-7</v>
          </cell>
        </row>
        <row r="233">
          <cell r="A233">
            <v>230</v>
          </cell>
          <cell r="C233">
            <v>3702011132</v>
          </cell>
          <cell r="D233" t="str">
            <v>即墨振华街の机架-8</v>
          </cell>
        </row>
        <row r="234">
          <cell r="A234">
            <v>231</v>
          </cell>
          <cell r="C234">
            <v>3702011133</v>
          </cell>
          <cell r="D234" t="str">
            <v>即墨振华街の机架-9</v>
          </cell>
        </row>
        <row r="235">
          <cell r="A235">
            <v>232</v>
          </cell>
          <cell r="C235">
            <v>3702012111</v>
          </cell>
          <cell r="D235" t="str">
            <v>莱西威海中路の机架-1</v>
          </cell>
        </row>
        <row r="236">
          <cell r="A236">
            <v>233</v>
          </cell>
          <cell r="C236">
            <v>3702012112</v>
          </cell>
          <cell r="D236" t="str">
            <v>莱西威海中路の机架-2</v>
          </cell>
        </row>
        <row r="237">
          <cell r="A237">
            <v>234</v>
          </cell>
          <cell r="C237">
            <v>3702012113</v>
          </cell>
          <cell r="D237" t="str">
            <v>莱西威海中路の机架-3</v>
          </cell>
        </row>
        <row r="238">
          <cell r="A238">
            <v>235</v>
          </cell>
          <cell r="C238">
            <v>3702012121</v>
          </cell>
          <cell r="D238" t="str">
            <v>莱西威海中路の机架-4</v>
          </cell>
        </row>
        <row r="239">
          <cell r="A239">
            <v>236</v>
          </cell>
          <cell r="C239">
            <v>3702012122</v>
          </cell>
          <cell r="D239" t="str">
            <v>莱西威海中路の机架-5</v>
          </cell>
        </row>
        <row r="240">
          <cell r="A240">
            <v>237</v>
          </cell>
          <cell r="C240">
            <v>3702012123</v>
          </cell>
          <cell r="D240" t="str">
            <v>莱西威海中路の机架-6</v>
          </cell>
        </row>
        <row r="241">
          <cell r="A241">
            <v>238</v>
          </cell>
          <cell r="C241">
            <v>3702012131</v>
          </cell>
          <cell r="D241" t="str">
            <v>莱西威海中路の机架-7</v>
          </cell>
        </row>
        <row r="242">
          <cell r="A242">
            <v>239</v>
          </cell>
          <cell r="C242">
            <v>3702012132</v>
          </cell>
          <cell r="D242" t="str">
            <v>莱西威海中路の机架-8</v>
          </cell>
        </row>
        <row r="243">
          <cell r="A243">
            <v>240</v>
          </cell>
          <cell r="C243">
            <v>3702012133</v>
          </cell>
          <cell r="D243" t="str">
            <v>莱西威海中路の机架-9</v>
          </cell>
        </row>
        <row r="244">
          <cell r="A244">
            <v>241</v>
          </cell>
          <cell r="C244">
            <v>3702013111</v>
          </cell>
          <cell r="D244" t="str">
            <v>胶南珠海中路の机架-1</v>
          </cell>
        </row>
        <row r="245">
          <cell r="A245">
            <v>242</v>
          </cell>
          <cell r="C245">
            <v>3702013112</v>
          </cell>
          <cell r="D245" t="str">
            <v>胶南珠海中路の机架-2</v>
          </cell>
        </row>
        <row r="246">
          <cell r="A246">
            <v>243</v>
          </cell>
          <cell r="C246">
            <v>3702013113</v>
          </cell>
          <cell r="D246" t="str">
            <v>胶南珠海中路の机架-3</v>
          </cell>
        </row>
        <row r="247">
          <cell r="A247">
            <v>244</v>
          </cell>
          <cell r="C247">
            <v>3702013121</v>
          </cell>
          <cell r="D247" t="str">
            <v>胶南珠海中路の机架-4</v>
          </cell>
        </row>
        <row r="248">
          <cell r="A248">
            <v>245</v>
          </cell>
          <cell r="C248">
            <v>3702013122</v>
          </cell>
          <cell r="D248" t="str">
            <v>胶南珠海中路の机架-5</v>
          </cell>
        </row>
        <row r="249">
          <cell r="A249">
            <v>246</v>
          </cell>
          <cell r="C249">
            <v>3702013123</v>
          </cell>
          <cell r="D249" t="str">
            <v>胶南珠海中路の机架-6</v>
          </cell>
        </row>
        <row r="250">
          <cell r="A250">
            <v>247</v>
          </cell>
          <cell r="C250">
            <v>3702013131</v>
          </cell>
          <cell r="D250" t="str">
            <v>胶南珠海中路の机架-7</v>
          </cell>
        </row>
        <row r="251">
          <cell r="A251">
            <v>248</v>
          </cell>
          <cell r="C251">
            <v>3702013132</v>
          </cell>
          <cell r="D251" t="str">
            <v>胶南珠海中路の机架-8</v>
          </cell>
        </row>
        <row r="252">
          <cell r="A252">
            <v>249</v>
          </cell>
          <cell r="C252">
            <v>3702013133</v>
          </cell>
          <cell r="D252" t="str">
            <v>胶南珠海中路の机架-9</v>
          </cell>
        </row>
        <row r="253">
          <cell r="A253">
            <v>250</v>
          </cell>
          <cell r="C253">
            <v>3702014111</v>
          </cell>
          <cell r="D253" t="str">
            <v>胶南泊里の机架-1</v>
          </cell>
        </row>
        <row r="254">
          <cell r="A254">
            <v>251</v>
          </cell>
          <cell r="C254">
            <v>3702014112</v>
          </cell>
          <cell r="D254" t="str">
            <v>胶南泊里の机架-2</v>
          </cell>
        </row>
        <row r="255">
          <cell r="A255">
            <v>252</v>
          </cell>
          <cell r="C255">
            <v>3702014113</v>
          </cell>
          <cell r="D255" t="str">
            <v>胶南泊里の机架-3</v>
          </cell>
        </row>
        <row r="256">
          <cell r="A256">
            <v>253</v>
          </cell>
          <cell r="C256">
            <v>3702014121</v>
          </cell>
          <cell r="D256" t="str">
            <v>胶南泊里の机架-4</v>
          </cell>
        </row>
        <row r="257">
          <cell r="A257">
            <v>254</v>
          </cell>
          <cell r="C257">
            <v>3702014122</v>
          </cell>
          <cell r="D257" t="str">
            <v>胶南泊里の机架-5</v>
          </cell>
        </row>
        <row r="258">
          <cell r="A258">
            <v>255</v>
          </cell>
          <cell r="C258">
            <v>3702014123</v>
          </cell>
          <cell r="D258" t="str">
            <v>胶南泊里の机架-6</v>
          </cell>
        </row>
        <row r="259">
          <cell r="A259">
            <v>256</v>
          </cell>
          <cell r="C259">
            <v>3702014131</v>
          </cell>
          <cell r="D259" t="str">
            <v>胶南泊里の机架-7</v>
          </cell>
        </row>
        <row r="260">
          <cell r="A260">
            <v>257</v>
          </cell>
          <cell r="C260">
            <v>3702014132</v>
          </cell>
          <cell r="D260" t="str">
            <v>胶南泊里の机架-8</v>
          </cell>
        </row>
        <row r="261">
          <cell r="A261">
            <v>258</v>
          </cell>
          <cell r="C261">
            <v>3702014133</v>
          </cell>
          <cell r="D261" t="str">
            <v>胶南泊里の机架-9</v>
          </cell>
        </row>
        <row r="262">
          <cell r="A262">
            <v>259</v>
          </cell>
          <cell r="C262">
            <v>3702015111</v>
          </cell>
          <cell r="D262" t="str">
            <v>胶南张家楼の机架-1</v>
          </cell>
        </row>
        <row r="263">
          <cell r="A263">
            <v>260</v>
          </cell>
          <cell r="C263">
            <v>3702015112</v>
          </cell>
          <cell r="D263" t="str">
            <v>胶南张家楼の机架-2</v>
          </cell>
        </row>
        <row r="264">
          <cell r="A264">
            <v>261</v>
          </cell>
          <cell r="C264">
            <v>3702015113</v>
          </cell>
          <cell r="D264" t="str">
            <v>胶南张家楼の机架-3</v>
          </cell>
        </row>
        <row r="265">
          <cell r="A265">
            <v>262</v>
          </cell>
          <cell r="C265">
            <v>3702015121</v>
          </cell>
          <cell r="D265" t="str">
            <v>胶南张家楼の机架-4</v>
          </cell>
        </row>
        <row r="266">
          <cell r="A266">
            <v>263</v>
          </cell>
          <cell r="C266">
            <v>3702015122</v>
          </cell>
          <cell r="D266" t="str">
            <v>胶南张家楼の机架-5</v>
          </cell>
        </row>
        <row r="267">
          <cell r="A267">
            <v>264</v>
          </cell>
          <cell r="C267">
            <v>3702015123</v>
          </cell>
          <cell r="D267" t="str">
            <v>胶南张家楼の机架-6</v>
          </cell>
        </row>
        <row r="268">
          <cell r="A268">
            <v>265</v>
          </cell>
          <cell r="C268">
            <v>3702015131</v>
          </cell>
          <cell r="D268" t="str">
            <v>胶南张家楼の机架-7</v>
          </cell>
        </row>
        <row r="269">
          <cell r="A269">
            <v>266</v>
          </cell>
          <cell r="C269">
            <v>3702015132</v>
          </cell>
          <cell r="D269" t="str">
            <v>胶南张家楼の机架-8</v>
          </cell>
        </row>
        <row r="270">
          <cell r="A270">
            <v>267</v>
          </cell>
          <cell r="C270">
            <v>3702015133</v>
          </cell>
          <cell r="D270" t="str">
            <v>胶南张家楼の机架-9</v>
          </cell>
        </row>
        <row r="271">
          <cell r="A271">
            <v>268</v>
          </cell>
          <cell r="C271">
            <v>3703001111</v>
          </cell>
          <cell r="D271" t="str">
            <v>淄博中心路の机架-1</v>
          </cell>
        </row>
        <row r="272">
          <cell r="A272">
            <v>269</v>
          </cell>
          <cell r="C272">
            <v>3703001112</v>
          </cell>
          <cell r="D272" t="str">
            <v>淄博中心路の机架-2</v>
          </cell>
        </row>
        <row r="273">
          <cell r="A273">
            <v>270</v>
          </cell>
          <cell r="C273">
            <v>3703001113</v>
          </cell>
          <cell r="D273" t="str">
            <v>淄博中心路の机架-3</v>
          </cell>
        </row>
        <row r="274">
          <cell r="A274">
            <v>271</v>
          </cell>
          <cell r="C274">
            <v>3703001121</v>
          </cell>
          <cell r="D274" t="str">
            <v>淄博中心路の机架-4</v>
          </cell>
        </row>
        <row r="275">
          <cell r="A275">
            <v>272</v>
          </cell>
          <cell r="C275">
            <v>3703001122</v>
          </cell>
          <cell r="D275" t="str">
            <v>淄博中心路の机架-5</v>
          </cell>
        </row>
        <row r="276">
          <cell r="A276">
            <v>273</v>
          </cell>
          <cell r="C276">
            <v>3703001123</v>
          </cell>
          <cell r="D276" t="str">
            <v>淄博中心路の机架-6</v>
          </cell>
        </row>
        <row r="277">
          <cell r="A277">
            <v>274</v>
          </cell>
          <cell r="C277">
            <v>3703001131</v>
          </cell>
          <cell r="D277" t="str">
            <v>淄博中心路の机架-7</v>
          </cell>
        </row>
        <row r="278">
          <cell r="A278">
            <v>275</v>
          </cell>
          <cell r="C278">
            <v>3703001132</v>
          </cell>
          <cell r="D278" t="str">
            <v>淄博中心路の机架-8</v>
          </cell>
        </row>
        <row r="279">
          <cell r="A279">
            <v>276</v>
          </cell>
          <cell r="C279">
            <v>3703001133</v>
          </cell>
          <cell r="D279" t="str">
            <v>淄博中心路の机架-9</v>
          </cell>
        </row>
        <row r="280">
          <cell r="A280">
            <v>277</v>
          </cell>
          <cell r="C280">
            <v>3703001211</v>
          </cell>
          <cell r="D280" t="str">
            <v>淄博中心路の机架-10</v>
          </cell>
        </row>
        <row r="281">
          <cell r="A281">
            <v>278</v>
          </cell>
          <cell r="C281">
            <v>3703001212</v>
          </cell>
          <cell r="D281" t="str">
            <v>淄博中心路の机架-11</v>
          </cell>
        </row>
        <row r="282">
          <cell r="A282">
            <v>279</v>
          </cell>
          <cell r="C282">
            <v>3703001213</v>
          </cell>
          <cell r="D282" t="str">
            <v>淄博中心路の机架-12</v>
          </cell>
        </row>
        <row r="283">
          <cell r="A283">
            <v>280</v>
          </cell>
          <cell r="C283">
            <v>3703001221</v>
          </cell>
          <cell r="D283" t="str">
            <v>淄博中心路の机架-13</v>
          </cell>
        </row>
        <row r="284">
          <cell r="A284">
            <v>281</v>
          </cell>
          <cell r="C284">
            <v>3703001222</v>
          </cell>
          <cell r="D284" t="str">
            <v>淄博中心路の机架-14</v>
          </cell>
        </row>
        <row r="285">
          <cell r="A285">
            <v>282</v>
          </cell>
          <cell r="C285">
            <v>3703001223</v>
          </cell>
          <cell r="D285" t="str">
            <v>淄博中心路の机架-15</v>
          </cell>
        </row>
        <row r="286">
          <cell r="A286">
            <v>283</v>
          </cell>
          <cell r="C286">
            <v>3703001231</v>
          </cell>
          <cell r="D286" t="str">
            <v>淄博中心路の机架-16</v>
          </cell>
        </row>
        <row r="287">
          <cell r="A287">
            <v>284</v>
          </cell>
          <cell r="C287">
            <v>3703001232</v>
          </cell>
          <cell r="D287" t="str">
            <v>淄博中心路の机架-17</v>
          </cell>
        </row>
        <row r="288">
          <cell r="A288">
            <v>285</v>
          </cell>
          <cell r="C288">
            <v>3703001233</v>
          </cell>
          <cell r="D288" t="str">
            <v>淄博中心路の机架-18</v>
          </cell>
        </row>
        <row r="289">
          <cell r="A289">
            <v>286</v>
          </cell>
          <cell r="C289">
            <v>3703002111</v>
          </cell>
          <cell r="D289" t="str">
            <v>淄博柳泉路の机架-1</v>
          </cell>
        </row>
        <row r="290">
          <cell r="A290">
            <v>287</v>
          </cell>
          <cell r="C290">
            <v>3703002112</v>
          </cell>
          <cell r="D290" t="str">
            <v>淄博柳泉路の机架-2</v>
          </cell>
        </row>
        <row r="291">
          <cell r="A291">
            <v>288</v>
          </cell>
          <cell r="C291">
            <v>3703002113</v>
          </cell>
          <cell r="D291" t="str">
            <v>淄博柳泉路の机架-3</v>
          </cell>
        </row>
        <row r="292">
          <cell r="A292">
            <v>289</v>
          </cell>
          <cell r="C292">
            <v>3703002121</v>
          </cell>
          <cell r="D292" t="str">
            <v>淄博柳泉路の机架-4</v>
          </cell>
        </row>
        <row r="293">
          <cell r="A293">
            <v>290</v>
          </cell>
          <cell r="C293">
            <v>3703002122</v>
          </cell>
          <cell r="D293" t="str">
            <v>淄博柳泉路の机架-5</v>
          </cell>
        </row>
        <row r="294">
          <cell r="A294">
            <v>291</v>
          </cell>
          <cell r="C294">
            <v>3703002123</v>
          </cell>
          <cell r="D294" t="str">
            <v>淄博柳泉路の机架-6</v>
          </cell>
        </row>
        <row r="295">
          <cell r="A295">
            <v>292</v>
          </cell>
          <cell r="C295">
            <v>3703002131</v>
          </cell>
          <cell r="D295" t="str">
            <v>淄博柳泉路の机架-7</v>
          </cell>
        </row>
        <row r="296">
          <cell r="A296">
            <v>293</v>
          </cell>
          <cell r="C296">
            <v>3703002132</v>
          </cell>
          <cell r="D296" t="str">
            <v>淄博柳泉路の机架-8</v>
          </cell>
        </row>
        <row r="297">
          <cell r="A297">
            <v>294</v>
          </cell>
          <cell r="C297">
            <v>3703002133</v>
          </cell>
          <cell r="D297" t="str">
            <v>淄博柳泉路の机架-9</v>
          </cell>
        </row>
        <row r="298">
          <cell r="A298">
            <v>295</v>
          </cell>
          <cell r="C298">
            <v>3703003111</v>
          </cell>
          <cell r="D298" t="str">
            <v>淄博人民路の机架-1</v>
          </cell>
        </row>
        <row r="299">
          <cell r="A299">
            <v>296</v>
          </cell>
          <cell r="C299">
            <v>3703003112</v>
          </cell>
          <cell r="D299" t="str">
            <v>淄博人民路の机架-2</v>
          </cell>
        </row>
        <row r="300">
          <cell r="A300">
            <v>297</v>
          </cell>
          <cell r="C300">
            <v>3703003113</v>
          </cell>
          <cell r="D300" t="str">
            <v>淄博人民路の机架-3</v>
          </cell>
        </row>
        <row r="301">
          <cell r="A301">
            <v>298</v>
          </cell>
          <cell r="C301">
            <v>3703003121</v>
          </cell>
          <cell r="D301" t="str">
            <v>淄博人民路の机架-4</v>
          </cell>
        </row>
        <row r="302">
          <cell r="A302">
            <v>299</v>
          </cell>
          <cell r="C302">
            <v>3703003122</v>
          </cell>
          <cell r="D302" t="str">
            <v>淄博人民路の机架-5</v>
          </cell>
        </row>
        <row r="303">
          <cell r="A303">
            <v>300</v>
          </cell>
          <cell r="C303">
            <v>3703003123</v>
          </cell>
          <cell r="D303" t="str">
            <v>淄博人民路の机架-6</v>
          </cell>
        </row>
        <row r="304">
          <cell r="A304">
            <v>301</v>
          </cell>
          <cell r="C304">
            <v>3703003131</v>
          </cell>
          <cell r="D304" t="str">
            <v>淄博人民路の机架-7</v>
          </cell>
        </row>
        <row r="305">
          <cell r="A305">
            <v>302</v>
          </cell>
          <cell r="C305">
            <v>3703003132</v>
          </cell>
          <cell r="D305" t="str">
            <v>淄博人民路の机架-8</v>
          </cell>
        </row>
        <row r="306">
          <cell r="A306">
            <v>303</v>
          </cell>
          <cell r="C306">
            <v>3703003133</v>
          </cell>
          <cell r="D306" t="str">
            <v>淄博人民路の机架-9</v>
          </cell>
        </row>
        <row r="307">
          <cell r="A307">
            <v>304</v>
          </cell>
          <cell r="C307">
            <v>3703004111</v>
          </cell>
          <cell r="D307" t="str">
            <v>淄博潘庄の机架-1</v>
          </cell>
        </row>
        <row r="308">
          <cell r="A308">
            <v>305</v>
          </cell>
          <cell r="C308">
            <v>3703004112</v>
          </cell>
          <cell r="D308" t="str">
            <v>淄博潘庄の机架-2</v>
          </cell>
        </row>
        <row r="309">
          <cell r="A309">
            <v>306</v>
          </cell>
          <cell r="C309">
            <v>3703004113</v>
          </cell>
          <cell r="D309" t="str">
            <v>淄博潘庄の机架-3</v>
          </cell>
        </row>
        <row r="310">
          <cell r="A310">
            <v>307</v>
          </cell>
          <cell r="C310">
            <v>3703004121</v>
          </cell>
          <cell r="D310" t="str">
            <v>淄博潘庄の机架-4</v>
          </cell>
        </row>
        <row r="311">
          <cell r="A311">
            <v>308</v>
          </cell>
          <cell r="C311">
            <v>3703004122</v>
          </cell>
          <cell r="D311" t="str">
            <v>淄博潘庄の机架-5</v>
          </cell>
        </row>
        <row r="312">
          <cell r="A312">
            <v>309</v>
          </cell>
          <cell r="C312">
            <v>3703004123</v>
          </cell>
          <cell r="D312" t="str">
            <v>淄博潘庄の机架-6</v>
          </cell>
        </row>
        <row r="313">
          <cell r="A313">
            <v>310</v>
          </cell>
          <cell r="C313">
            <v>3703004131</v>
          </cell>
          <cell r="D313" t="str">
            <v>淄博潘庄の机架-7</v>
          </cell>
        </row>
        <row r="314">
          <cell r="A314">
            <v>311</v>
          </cell>
          <cell r="C314">
            <v>3703004132</v>
          </cell>
          <cell r="D314" t="str">
            <v>淄博潘庄の机架-8</v>
          </cell>
        </row>
        <row r="315">
          <cell r="A315">
            <v>312</v>
          </cell>
          <cell r="C315">
            <v>3703004133</v>
          </cell>
          <cell r="D315" t="str">
            <v>淄博潘庄の机架-9</v>
          </cell>
        </row>
        <row r="316">
          <cell r="A316">
            <v>313</v>
          </cell>
          <cell r="C316">
            <v>3703005111</v>
          </cell>
          <cell r="D316" t="str">
            <v>沂源振兴路324局の机架-1</v>
          </cell>
        </row>
        <row r="317">
          <cell r="A317">
            <v>314</v>
          </cell>
          <cell r="C317">
            <v>3703005112</v>
          </cell>
          <cell r="D317" t="str">
            <v>沂源振兴路324局の机架-2</v>
          </cell>
        </row>
        <row r="318">
          <cell r="A318">
            <v>315</v>
          </cell>
          <cell r="C318">
            <v>3703005113</v>
          </cell>
          <cell r="D318" t="str">
            <v>沂源振兴路324局の机架-3</v>
          </cell>
        </row>
        <row r="319">
          <cell r="A319">
            <v>316</v>
          </cell>
          <cell r="C319">
            <v>3703005121</v>
          </cell>
          <cell r="D319" t="str">
            <v>沂源振兴路324局の机架-4</v>
          </cell>
        </row>
        <row r="320">
          <cell r="A320">
            <v>317</v>
          </cell>
          <cell r="C320">
            <v>3703005122</v>
          </cell>
          <cell r="D320" t="str">
            <v>沂源振兴路324局の机架-5</v>
          </cell>
        </row>
        <row r="321">
          <cell r="A321">
            <v>318</v>
          </cell>
          <cell r="C321">
            <v>3703005123</v>
          </cell>
          <cell r="D321" t="str">
            <v>沂源振兴路324局の机架-6</v>
          </cell>
        </row>
        <row r="322">
          <cell r="A322">
            <v>319</v>
          </cell>
          <cell r="C322">
            <v>3703005131</v>
          </cell>
          <cell r="D322" t="str">
            <v>沂源振兴路324局の机架-7</v>
          </cell>
        </row>
        <row r="323">
          <cell r="A323">
            <v>320</v>
          </cell>
          <cell r="C323">
            <v>3703005132</v>
          </cell>
          <cell r="D323" t="str">
            <v>沂源振兴路324局の机架-8</v>
          </cell>
        </row>
        <row r="324">
          <cell r="A324">
            <v>321</v>
          </cell>
          <cell r="C324">
            <v>3703005133</v>
          </cell>
          <cell r="D324" t="str">
            <v>沂源振兴路324局の机架-9</v>
          </cell>
        </row>
        <row r="325">
          <cell r="A325">
            <v>322</v>
          </cell>
          <cell r="C325">
            <v>3703006111</v>
          </cell>
          <cell r="D325" t="str">
            <v>博山沿河西路の机架-1</v>
          </cell>
        </row>
        <row r="326">
          <cell r="A326">
            <v>323</v>
          </cell>
          <cell r="C326">
            <v>3703006112</v>
          </cell>
          <cell r="D326" t="str">
            <v>博山沿河西路の机架-2</v>
          </cell>
        </row>
        <row r="327">
          <cell r="A327">
            <v>324</v>
          </cell>
          <cell r="C327">
            <v>3703006113</v>
          </cell>
          <cell r="D327" t="str">
            <v>博山沿河西路の机架-3</v>
          </cell>
        </row>
        <row r="328">
          <cell r="A328">
            <v>325</v>
          </cell>
          <cell r="C328">
            <v>3703006121</v>
          </cell>
          <cell r="D328" t="str">
            <v>博山沿河西路の机架-4</v>
          </cell>
        </row>
        <row r="329">
          <cell r="A329">
            <v>326</v>
          </cell>
          <cell r="C329">
            <v>3703006122</v>
          </cell>
          <cell r="D329" t="str">
            <v>博山沿河西路の机架-5</v>
          </cell>
        </row>
        <row r="330">
          <cell r="A330">
            <v>327</v>
          </cell>
          <cell r="C330">
            <v>3703006123</v>
          </cell>
          <cell r="D330" t="str">
            <v>博山沿河西路の机架-6</v>
          </cell>
        </row>
        <row r="331">
          <cell r="A331">
            <v>328</v>
          </cell>
          <cell r="C331">
            <v>3703006131</v>
          </cell>
          <cell r="D331" t="str">
            <v>博山沿河西路の机架-7</v>
          </cell>
        </row>
        <row r="332">
          <cell r="A332">
            <v>329</v>
          </cell>
          <cell r="C332">
            <v>3703006132</v>
          </cell>
          <cell r="D332" t="str">
            <v>博山沿河西路の机架-8</v>
          </cell>
        </row>
        <row r="333">
          <cell r="A333">
            <v>330</v>
          </cell>
          <cell r="C333">
            <v>3703006133</v>
          </cell>
          <cell r="D333" t="str">
            <v>博山沿河西路の机架-9</v>
          </cell>
        </row>
        <row r="334">
          <cell r="A334">
            <v>331</v>
          </cell>
          <cell r="C334">
            <v>3703007111</v>
          </cell>
          <cell r="D334" t="str">
            <v>临淄区南二路基站の机架-1</v>
          </cell>
        </row>
        <row r="335">
          <cell r="A335">
            <v>332</v>
          </cell>
          <cell r="C335">
            <v>3703007112</v>
          </cell>
          <cell r="D335" t="str">
            <v>临淄区南二路基站の机架-2</v>
          </cell>
        </row>
        <row r="336">
          <cell r="A336">
            <v>333</v>
          </cell>
          <cell r="C336">
            <v>3703007113</v>
          </cell>
          <cell r="D336" t="str">
            <v>临淄区南二路基站の机架-3</v>
          </cell>
        </row>
        <row r="337">
          <cell r="A337">
            <v>334</v>
          </cell>
          <cell r="C337">
            <v>3703007121</v>
          </cell>
          <cell r="D337" t="str">
            <v>临淄区南二路基站の机架-4</v>
          </cell>
        </row>
        <row r="338">
          <cell r="A338">
            <v>335</v>
          </cell>
          <cell r="C338">
            <v>3703007122</v>
          </cell>
          <cell r="D338" t="str">
            <v>临淄区南二路基站の机架-5</v>
          </cell>
        </row>
        <row r="339">
          <cell r="A339">
            <v>336</v>
          </cell>
          <cell r="C339">
            <v>3703007123</v>
          </cell>
          <cell r="D339" t="str">
            <v>临淄区南二路基站の机架-6</v>
          </cell>
        </row>
        <row r="340">
          <cell r="A340">
            <v>337</v>
          </cell>
          <cell r="C340">
            <v>3703007131</v>
          </cell>
          <cell r="D340" t="str">
            <v>临淄区南二路基站の机架-7</v>
          </cell>
        </row>
        <row r="341">
          <cell r="A341">
            <v>338</v>
          </cell>
          <cell r="C341">
            <v>3703007132</v>
          </cell>
          <cell r="D341" t="str">
            <v>临淄区南二路基站の机架-8</v>
          </cell>
        </row>
        <row r="342">
          <cell r="A342">
            <v>339</v>
          </cell>
          <cell r="C342">
            <v>3703007133</v>
          </cell>
          <cell r="D342" t="str">
            <v>临淄区南二路基站の机架-9</v>
          </cell>
        </row>
        <row r="343">
          <cell r="A343">
            <v>340</v>
          </cell>
          <cell r="C343">
            <v>3704001111</v>
          </cell>
          <cell r="D343" t="str">
            <v>枣庄青檀路の机架-1</v>
          </cell>
        </row>
        <row r="344">
          <cell r="A344">
            <v>341</v>
          </cell>
          <cell r="C344">
            <v>3704001112</v>
          </cell>
          <cell r="D344" t="str">
            <v>枣庄青檀路の机架-2</v>
          </cell>
        </row>
        <row r="345">
          <cell r="A345">
            <v>342</v>
          </cell>
          <cell r="C345">
            <v>3704001113</v>
          </cell>
          <cell r="D345" t="str">
            <v>枣庄青檀路の机架-3</v>
          </cell>
        </row>
        <row r="346">
          <cell r="A346">
            <v>343</v>
          </cell>
          <cell r="C346">
            <v>3704001121</v>
          </cell>
          <cell r="D346" t="str">
            <v>枣庄青檀路の机架-4</v>
          </cell>
        </row>
        <row r="347">
          <cell r="A347">
            <v>344</v>
          </cell>
          <cell r="C347">
            <v>3704001122</v>
          </cell>
          <cell r="D347" t="str">
            <v>枣庄青檀路の机架-5</v>
          </cell>
        </row>
        <row r="348">
          <cell r="A348">
            <v>345</v>
          </cell>
          <cell r="C348">
            <v>3704001123</v>
          </cell>
          <cell r="D348" t="str">
            <v>枣庄青檀路の机架-6</v>
          </cell>
        </row>
        <row r="349">
          <cell r="A349">
            <v>346</v>
          </cell>
          <cell r="C349">
            <v>3704001131</v>
          </cell>
          <cell r="D349" t="str">
            <v>枣庄青檀路の机架-7</v>
          </cell>
        </row>
        <row r="350">
          <cell r="A350">
            <v>347</v>
          </cell>
          <cell r="C350">
            <v>3704001132</v>
          </cell>
          <cell r="D350" t="str">
            <v>枣庄青檀路の机架-8</v>
          </cell>
        </row>
        <row r="351">
          <cell r="A351">
            <v>348</v>
          </cell>
          <cell r="C351">
            <v>3704001133</v>
          </cell>
          <cell r="D351" t="str">
            <v>枣庄青檀路の机架-9</v>
          </cell>
        </row>
        <row r="352">
          <cell r="A352">
            <v>349</v>
          </cell>
          <cell r="C352">
            <v>3704001211</v>
          </cell>
          <cell r="D352" t="str">
            <v>枣庄青檀路の机架-10</v>
          </cell>
        </row>
        <row r="353">
          <cell r="A353">
            <v>350</v>
          </cell>
          <cell r="C353">
            <v>3704001212</v>
          </cell>
          <cell r="D353" t="str">
            <v>枣庄青檀路の机架-11</v>
          </cell>
        </row>
        <row r="354">
          <cell r="A354">
            <v>351</v>
          </cell>
          <cell r="C354">
            <v>3704001213</v>
          </cell>
          <cell r="D354" t="str">
            <v>枣庄青檀路の机架-12</v>
          </cell>
        </row>
        <row r="355">
          <cell r="A355">
            <v>352</v>
          </cell>
          <cell r="C355">
            <v>3704001221</v>
          </cell>
          <cell r="D355" t="str">
            <v>枣庄青檀路の机架-13</v>
          </cell>
        </row>
        <row r="356">
          <cell r="A356">
            <v>353</v>
          </cell>
          <cell r="C356">
            <v>3704001222</v>
          </cell>
          <cell r="D356" t="str">
            <v>枣庄青檀路の机架-14</v>
          </cell>
        </row>
        <row r="357">
          <cell r="A357">
            <v>354</v>
          </cell>
          <cell r="C357">
            <v>3704001223</v>
          </cell>
          <cell r="D357" t="str">
            <v>枣庄青檀路の机架-15</v>
          </cell>
        </row>
        <row r="358">
          <cell r="A358">
            <v>355</v>
          </cell>
          <cell r="C358">
            <v>3704001231</v>
          </cell>
          <cell r="D358" t="str">
            <v>枣庄青檀路の机架-16</v>
          </cell>
        </row>
        <row r="359">
          <cell r="A359">
            <v>356</v>
          </cell>
          <cell r="C359">
            <v>3704001232</v>
          </cell>
          <cell r="D359" t="str">
            <v>枣庄青檀路の机架-17</v>
          </cell>
        </row>
        <row r="360">
          <cell r="A360">
            <v>357</v>
          </cell>
          <cell r="C360">
            <v>3704001233</v>
          </cell>
          <cell r="D360" t="str">
            <v>枣庄青檀路の机架-18</v>
          </cell>
        </row>
        <row r="361">
          <cell r="A361">
            <v>358</v>
          </cell>
          <cell r="C361">
            <v>3704002111</v>
          </cell>
          <cell r="D361" t="str">
            <v>枣庄光明西路の机架-1</v>
          </cell>
        </row>
        <row r="362">
          <cell r="A362">
            <v>359</v>
          </cell>
          <cell r="C362">
            <v>3704002112</v>
          </cell>
          <cell r="D362" t="str">
            <v>枣庄光明西路の机架-2</v>
          </cell>
        </row>
        <row r="363">
          <cell r="A363">
            <v>360</v>
          </cell>
          <cell r="C363">
            <v>3704002113</v>
          </cell>
          <cell r="D363" t="str">
            <v>枣庄光明西路の机架-3</v>
          </cell>
        </row>
        <row r="364">
          <cell r="A364">
            <v>361</v>
          </cell>
          <cell r="C364">
            <v>3704002121</v>
          </cell>
          <cell r="D364" t="str">
            <v>枣庄光明西路の机架-4</v>
          </cell>
        </row>
        <row r="365">
          <cell r="A365">
            <v>362</v>
          </cell>
          <cell r="C365">
            <v>3704002122</v>
          </cell>
          <cell r="D365" t="str">
            <v>枣庄光明西路の机架-5</v>
          </cell>
        </row>
        <row r="366">
          <cell r="A366">
            <v>363</v>
          </cell>
          <cell r="C366">
            <v>3704002123</v>
          </cell>
          <cell r="D366" t="str">
            <v>枣庄光明西路の机架-6</v>
          </cell>
        </row>
        <row r="367">
          <cell r="A367">
            <v>364</v>
          </cell>
          <cell r="C367">
            <v>3704002131</v>
          </cell>
          <cell r="D367" t="str">
            <v>枣庄光明西路の机架-7</v>
          </cell>
        </row>
        <row r="368">
          <cell r="A368">
            <v>365</v>
          </cell>
          <cell r="C368">
            <v>3704002132</v>
          </cell>
          <cell r="D368" t="str">
            <v>枣庄光明西路の机架-8</v>
          </cell>
        </row>
        <row r="369">
          <cell r="A369">
            <v>366</v>
          </cell>
          <cell r="C369">
            <v>3704002133</v>
          </cell>
          <cell r="D369" t="str">
            <v>枣庄光明西路の机架-9</v>
          </cell>
        </row>
        <row r="370">
          <cell r="A370">
            <v>367</v>
          </cell>
          <cell r="C370">
            <v>3704003111</v>
          </cell>
          <cell r="D370" t="str">
            <v>枣庄振兴路の机架-1</v>
          </cell>
        </row>
        <row r="371">
          <cell r="A371">
            <v>368</v>
          </cell>
          <cell r="C371">
            <v>3704003112</v>
          </cell>
          <cell r="D371" t="str">
            <v>枣庄振兴路の机架-2</v>
          </cell>
        </row>
        <row r="372">
          <cell r="A372">
            <v>369</v>
          </cell>
          <cell r="C372">
            <v>3704003113</v>
          </cell>
          <cell r="D372" t="str">
            <v>枣庄振兴路の机架-3</v>
          </cell>
        </row>
        <row r="373">
          <cell r="A373">
            <v>370</v>
          </cell>
          <cell r="C373">
            <v>3704003121</v>
          </cell>
          <cell r="D373" t="str">
            <v>枣庄振兴路の机架-4</v>
          </cell>
        </row>
        <row r="374">
          <cell r="A374">
            <v>371</v>
          </cell>
          <cell r="C374">
            <v>3704003122</v>
          </cell>
          <cell r="D374" t="str">
            <v>枣庄振兴路の机架-5</v>
          </cell>
        </row>
        <row r="375">
          <cell r="A375">
            <v>372</v>
          </cell>
          <cell r="C375">
            <v>3704003123</v>
          </cell>
          <cell r="D375" t="str">
            <v>枣庄振兴路の机架-6</v>
          </cell>
        </row>
        <row r="376">
          <cell r="A376">
            <v>373</v>
          </cell>
          <cell r="C376">
            <v>3704003131</v>
          </cell>
          <cell r="D376" t="str">
            <v>枣庄振兴路の机架-7</v>
          </cell>
        </row>
        <row r="377">
          <cell r="A377">
            <v>374</v>
          </cell>
          <cell r="C377">
            <v>3704003132</v>
          </cell>
          <cell r="D377" t="str">
            <v>枣庄振兴路の机架-8</v>
          </cell>
        </row>
        <row r="378">
          <cell r="A378">
            <v>375</v>
          </cell>
          <cell r="C378">
            <v>3704003133</v>
          </cell>
          <cell r="D378" t="str">
            <v>枣庄振兴路の机架-9</v>
          </cell>
        </row>
        <row r="379">
          <cell r="A379">
            <v>376</v>
          </cell>
          <cell r="C379">
            <v>3704004111</v>
          </cell>
          <cell r="D379" t="str">
            <v>滕州善国北路の机架-1</v>
          </cell>
        </row>
        <row r="380">
          <cell r="A380">
            <v>377</v>
          </cell>
          <cell r="C380">
            <v>3704004112</v>
          </cell>
          <cell r="D380" t="str">
            <v>滕州善国北路の机架-2</v>
          </cell>
        </row>
        <row r="381">
          <cell r="A381">
            <v>378</v>
          </cell>
          <cell r="C381">
            <v>3704004113</v>
          </cell>
          <cell r="D381" t="str">
            <v>滕州善国北路の机架-3</v>
          </cell>
        </row>
        <row r="382">
          <cell r="A382">
            <v>379</v>
          </cell>
          <cell r="C382">
            <v>3704004121</v>
          </cell>
          <cell r="D382" t="str">
            <v>滕州善国北路の机架-4</v>
          </cell>
        </row>
        <row r="383">
          <cell r="A383">
            <v>380</v>
          </cell>
          <cell r="C383">
            <v>3704004122</v>
          </cell>
          <cell r="D383" t="str">
            <v>滕州善国北路の机架-5</v>
          </cell>
        </row>
        <row r="384">
          <cell r="A384">
            <v>381</v>
          </cell>
          <cell r="C384">
            <v>3704004123</v>
          </cell>
          <cell r="D384" t="str">
            <v>滕州善国北路の机架-6</v>
          </cell>
        </row>
        <row r="385">
          <cell r="A385">
            <v>382</v>
          </cell>
          <cell r="C385">
            <v>3704004131</v>
          </cell>
          <cell r="D385" t="str">
            <v>滕州善国北路の机架-7</v>
          </cell>
        </row>
        <row r="386">
          <cell r="A386">
            <v>383</v>
          </cell>
          <cell r="C386">
            <v>3704004132</v>
          </cell>
          <cell r="D386" t="str">
            <v>滕州善国北路の机架-8</v>
          </cell>
        </row>
        <row r="387">
          <cell r="A387">
            <v>384</v>
          </cell>
          <cell r="C387">
            <v>3704004133</v>
          </cell>
          <cell r="D387" t="str">
            <v>滕州善国北路の机架-9</v>
          </cell>
        </row>
        <row r="388">
          <cell r="A388">
            <v>385</v>
          </cell>
          <cell r="C388">
            <v>3704005111</v>
          </cell>
          <cell r="D388" t="str">
            <v>滕州51中心局の机架-1</v>
          </cell>
        </row>
        <row r="389">
          <cell r="A389">
            <v>386</v>
          </cell>
          <cell r="C389">
            <v>3704005112</v>
          </cell>
          <cell r="D389" t="str">
            <v>滕州51中心局の机架-2</v>
          </cell>
        </row>
        <row r="390">
          <cell r="A390">
            <v>387</v>
          </cell>
          <cell r="C390">
            <v>3704005113</v>
          </cell>
          <cell r="D390" t="str">
            <v>滕州51中心局の机架-3</v>
          </cell>
        </row>
        <row r="391">
          <cell r="A391">
            <v>388</v>
          </cell>
          <cell r="C391">
            <v>3704005121</v>
          </cell>
          <cell r="D391" t="str">
            <v>滕州51中心局の机架-4</v>
          </cell>
        </row>
        <row r="392">
          <cell r="A392">
            <v>389</v>
          </cell>
          <cell r="C392">
            <v>3704005122</v>
          </cell>
          <cell r="D392" t="str">
            <v>滕州51中心局の机架-5</v>
          </cell>
        </row>
        <row r="393">
          <cell r="A393">
            <v>390</v>
          </cell>
          <cell r="C393">
            <v>3704005123</v>
          </cell>
          <cell r="D393" t="str">
            <v>滕州51中心局の机架-6</v>
          </cell>
        </row>
        <row r="394">
          <cell r="A394">
            <v>391</v>
          </cell>
          <cell r="C394">
            <v>3704005131</v>
          </cell>
          <cell r="D394" t="str">
            <v>滕州51中心局の机架-7</v>
          </cell>
        </row>
        <row r="395">
          <cell r="A395">
            <v>392</v>
          </cell>
          <cell r="C395">
            <v>3704005132</v>
          </cell>
          <cell r="D395" t="str">
            <v>滕州51中心局の机架-8</v>
          </cell>
        </row>
        <row r="396">
          <cell r="A396">
            <v>393</v>
          </cell>
          <cell r="C396">
            <v>3704005133</v>
          </cell>
          <cell r="D396" t="str">
            <v>滕州51中心局の机架-9</v>
          </cell>
        </row>
        <row r="397">
          <cell r="A397">
            <v>394</v>
          </cell>
          <cell r="C397">
            <v>3704006111</v>
          </cell>
          <cell r="D397" t="str">
            <v>薛城441局の机架-1</v>
          </cell>
        </row>
        <row r="398">
          <cell r="A398">
            <v>395</v>
          </cell>
          <cell r="C398">
            <v>3704006112</v>
          </cell>
          <cell r="D398" t="str">
            <v>薛城441局の机架-2</v>
          </cell>
        </row>
        <row r="399">
          <cell r="A399">
            <v>396</v>
          </cell>
          <cell r="C399">
            <v>3704006113</v>
          </cell>
          <cell r="D399" t="str">
            <v>薛城441局の机架-3</v>
          </cell>
        </row>
        <row r="400">
          <cell r="A400">
            <v>397</v>
          </cell>
          <cell r="C400">
            <v>3704006121</v>
          </cell>
          <cell r="D400" t="str">
            <v>薛城441局の机架-4</v>
          </cell>
        </row>
        <row r="401">
          <cell r="A401">
            <v>398</v>
          </cell>
          <cell r="C401">
            <v>3704006122</v>
          </cell>
          <cell r="D401" t="str">
            <v>薛城441局の机架-5</v>
          </cell>
        </row>
        <row r="402">
          <cell r="A402">
            <v>399</v>
          </cell>
          <cell r="C402">
            <v>3704006123</v>
          </cell>
          <cell r="D402" t="str">
            <v>薛城441局の机架-6</v>
          </cell>
        </row>
        <row r="403">
          <cell r="A403">
            <v>400</v>
          </cell>
          <cell r="C403">
            <v>3704006131</v>
          </cell>
          <cell r="D403" t="str">
            <v>薛城441局の机架-7</v>
          </cell>
        </row>
        <row r="404">
          <cell r="A404">
            <v>401</v>
          </cell>
          <cell r="C404">
            <v>3704006132</v>
          </cell>
          <cell r="D404" t="str">
            <v>薛城441局の机架-8</v>
          </cell>
        </row>
        <row r="405">
          <cell r="A405">
            <v>402</v>
          </cell>
          <cell r="C405">
            <v>3704006133</v>
          </cell>
          <cell r="D405" t="str">
            <v>薛城441局の机架-9</v>
          </cell>
        </row>
        <row r="406">
          <cell r="A406">
            <v>403</v>
          </cell>
          <cell r="C406">
            <v>3704007111</v>
          </cell>
          <cell r="D406" t="str">
            <v>薛城天山路の机架-1</v>
          </cell>
        </row>
        <row r="407">
          <cell r="A407">
            <v>404</v>
          </cell>
          <cell r="C407">
            <v>3704007112</v>
          </cell>
          <cell r="D407" t="str">
            <v>薛城天山路の机架-2</v>
          </cell>
        </row>
        <row r="408">
          <cell r="A408">
            <v>405</v>
          </cell>
          <cell r="C408">
            <v>3704007113</v>
          </cell>
          <cell r="D408" t="str">
            <v>薛城天山路の机架-3</v>
          </cell>
        </row>
        <row r="409">
          <cell r="A409">
            <v>406</v>
          </cell>
          <cell r="C409">
            <v>3704007121</v>
          </cell>
          <cell r="D409" t="str">
            <v>薛城天山路の机架-4</v>
          </cell>
        </row>
        <row r="410">
          <cell r="A410">
            <v>407</v>
          </cell>
          <cell r="C410">
            <v>3704007122</v>
          </cell>
          <cell r="D410" t="str">
            <v>薛城天山路の机架-5</v>
          </cell>
        </row>
        <row r="411">
          <cell r="A411">
            <v>408</v>
          </cell>
          <cell r="C411">
            <v>3704007123</v>
          </cell>
          <cell r="D411" t="str">
            <v>薛城天山路の机架-6</v>
          </cell>
        </row>
        <row r="412">
          <cell r="A412">
            <v>409</v>
          </cell>
          <cell r="C412">
            <v>3704007131</v>
          </cell>
          <cell r="D412" t="str">
            <v>薛城天山路の机架-7</v>
          </cell>
        </row>
        <row r="413">
          <cell r="A413">
            <v>410</v>
          </cell>
          <cell r="C413">
            <v>3704007132</v>
          </cell>
          <cell r="D413" t="str">
            <v>薛城天山路の机架-8</v>
          </cell>
        </row>
        <row r="414">
          <cell r="A414">
            <v>411</v>
          </cell>
          <cell r="C414">
            <v>3704007133</v>
          </cell>
          <cell r="D414" t="str">
            <v>薛城天山路の机架-9</v>
          </cell>
        </row>
        <row r="415">
          <cell r="A415">
            <v>412</v>
          </cell>
          <cell r="C415">
            <v>3705001111</v>
          </cell>
          <cell r="D415" t="str">
            <v>东营济南路の机架-1</v>
          </cell>
        </row>
        <row r="416">
          <cell r="A416">
            <v>413</v>
          </cell>
          <cell r="C416">
            <v>3705001112</v>
          </cell>
          <cell r="D416" t="str">
            <v>东营济南路の机架-2</v>
          </cell>
        </row>
        <row r="417">
          <cell r="A417">
            <v>414</v>
          </cell>
          <cell r="C417">
            <v>3705001113</v>
          </cell>
          <cell r="D417" t="str">
            <v>东营济南路の机架-3</v>
          </cell>
        </row>
        <row r="418">
          <cell r="A418">
            <v>415</v>
          </cell>
          <cell r="C418">
            <v>3705001121</v>
          </cell>
          <cell r="D418" t="str">
            <v>东营济南路の机架-4</v>
          </cell>
        </row>
        <row r="419">
          <cell r="A419">
            <v>416</v>
          </cell>
          <cell r="C419">
            <v>3705001122</v>
          </cell>
          <cell r="D419" t="str">
            <v>东营济南路の机架-5</v>
          </cell>
        </row>
        <row r="420">
          <cell r="A420">
            <v>417</v>
          </cell>
          <cell r="C420">
            <v>3705001123</v>
          </cell>
          <cell r="D420" t="str">
            <v>东营济南路の机架-6</v>
          </cell>
        </row>
        <row r="421">
          <cell r="A421">
            <v>418</v>
          </cell>
          <cell r="C421">
            <v>3705001131</v>
          </cell>
          <cell r="D421" t="str">
            <v>东营济南路の机架-7</v>
          </cell>
        </row>
        <row r="422">
          <cell r="A422">
            <v>419</v>
          </cell>
          <cell r="C422">
            <v>3705001132</v>
          </cell>
          <cell r="D422" t="str">
            <v>东营济南路の机架-8</v>
          </cell>
        </row>
        <row r="423">
          <cell r="A423">
            <v>420</v>
          </cell>
          <cell r="C423">
            <v>3705001133</v>
          </cell>
          <cell r="D423" t="str">
            <v>东营济南路の机架-9</v>
          </cell>
        </row>
        <row r="424">
          <cell r="A424">
            <v>421</v>
          </cell>
          <cell r="C424">
            <v>3705001211</v>
          </cell>
          <cell r="D424" t="str">
            <v>东营济南路の机架-10</v>
          </cell>
        </row>
        <row r="425">
          <cell r="A425">
            <v>422</v>
          </cell>
          <cell r="C425">
            <v>3705001212</v>
          </cell>
          <cell r="D425" t="str">
            <v>东营济南路の机架-11</v>
          </cell>
        </row>
        <row r="426">
          <cell r="A426">
            <v>423</v>
          </cell>
          <cell r="C426">
            <v>3705001213</v>
          </cell>
          <cell r="D426" t="str">
            <v>东营济南路の机架-12</v>
          </cell>
        </row>
        <row r="427">
          <cell r="A427">
            <v>424</v>
          </cell>
          <cell r="C427">
            <v>3705001221</v>
          </cell>
          <cell r="D427" t="str">
            <v>东营济南路の机架-13</v>
          </cell>
        </row>
        <row r="428">
          <cell r="A428">
            <v>425</v>
          </cell>
          <cell r="C428">
            <v>3705001222</v>
          </cell>
          <cell r="D428" t="str">
            <v>东营济南路の机架-14</v>
          </cell>
        </row>
        <row r="429">
          <cell r="A429">
            <v>426</v>
          </cell>
          <cell r="C429">
            <v>3705001223</v>
          </cell>
          <cell r="D429" t="str">
            <v>东营济南路の机架-15</v>
          </cell>
        </row>
        <row r="430">
          <cell r="A430">
            <v>427</v>
          </cell>
          <cell r="C430">
            <v>3705001231</v>
          </cell>
          <cell r="D430" t="str">
            <v>东营济南路の机架-16</v>
          </cell>
        </row>
        <row r="431">
          <cell r="A431">
            <v>428</v>
          </cell>
          <cell r="C431">
            <v>3705001232</v>
          </cell>
          <cell r="D431" t="str">
            <v>东营济南路の机架-17</v>
          </cell>
        </row>
        <row r="432">
          <cell r="A432">
            <v>429</v>
          </cell>
          <cell r="C432">
            <v>3705001233</v>
          </cell>
          <cell r="D432" t="str">
            <v>东营济南路の机架-18</v>
          </cell>
        </row>
        <row r="433">
          <cell r="A433">
            <v>430</v>
          </cell>
          <cell r="C433">
            <v>3705002111</v>
          </cell>
          <cell r="D433" t="str">
            <v>东营运河路の机架-1</v>
          </cell>
        </row>
        <row r="434">
          <cell r="A434">
            <v>431</v>
          </cell>
          <cell r="C434">
            <v>3705002112</v>
          </cell>
          <cell r="D434" t="str">
            <v>东营运河路の机架-2</v>
          </cell>
        </row>
        <row r="435">
          <cell r="A435">
            <v>432</v>
          </cell>
          <cell r="C435">
            <v>3705002113</v>
          </cell>
          <cell r="D435" t="str">
            <v>东营运河路の机架-3</v>
          </cell>
        </row>
        <row r="436">
          <cell r="A436">
            <v>433</v>
          </cell>
          <cell r="C436">
            <v>3705002121</v>
          </cell>
          <cell r="D436" t="str">
            <v>东营运河路の机架-4</v>
          </cell>
        </row>
        <row r="437">
          <cell r="A437">
            <v>434</v>
          </cell>
          <cell r="C437">
            <v>3705002122</v>
          </cell>
          <cell r="D437" t="str">
            <v>东营运河路の机架-5</v>
          </cell>
        </row>
        <row r="438">
          <cell r="A438">
            <v>435</v>
          </cell>
          <cell r="C438">
            <v>3705002123</v>
          </cell>
          <cell r="D438" t="str">
            <v>东营运河路の机架-6</v>
          </cell>
        </row>
        <row r="439">
          <cell r="A439">
            <v>436</v>
          </cell>
          <cell r="C439">
            <v>3705002131</v>
          </cell>
          <cell r="D439" t="str">
            <v>东营运河路の机架-7</v>
          </cell>
        </row>
        <row r="440">
          <cell r="A440">
            <v>437</v>
          </cell>
          <cell r="C440">
            <v>3705002132</v>
          </cell>
          <cell r="D440" t="str">
            <v>东营运河路の机架-8</v>
          </cell>
        </row>
        <row r="441">
          <cell r="A441">
            <v>438</v>
          </cell>
          <cell r="C441">
            <v>3705002133</v>
          </cell>
          <cell r="D441" t="str">
            <v>东营运河路の机架-9</v>
          </cell>
        </row>
        <row r="442">
          <cell r="A442">
            <v>439</v>
          </cell>
          <cell r="C442">
            <v>3705003111</v>
          </cell>
          <cell r="D442" t="str">
            <v>利津通信楼の机架-1</v>
          </cell>
        </row>
        <row r="443">
          <cell r="A443">
            <v>440</v>
          </cell>
          <cell r="C443">
            <v>3705003112</v>
          </cell>
          <cell r="D443" t="str">
            <v>利津通信楼の机架-2</v>
          </cell>
        </row>
        <row r="444">
          <cell r="A444">
            <v>441</v>
          </cell>
          <cell r="C444">
            <v>3705003113</v>
          </cell>
          <cell r="D444" t="str">
            <v>利津通信楼の机架-3</v>
          </cell>
        </row>
        <row r="445">
          <cell r="A445">
            <v>442</v>
          </cell>
          <cell r="C445">
            <v>3705003121</v>
          </cell>
          <cell r="D445" t="str">
            <v>利津通信楼の机架-4</v>
          </cell>
        </row>
        <row r="446">
          <cell r="A446">
            <v>443</v>
          </cell>
          <cell r="C446">
            <v>3705003122</v>
          </cell>
          <cell r="D446" t="str">
            <v>利津通信楼の机架-5</v>
          </cell>
        </row>
        <row r="447">
          <cell r="A447">
            <v>444</v>
          </cell>
          <cell r="C447">
            <v>3705003123</v>
          </cell>
          <cell r="D447" t="str">
            <v>利津通信楼の机架-6</v>
          </cell>
        </row>
        <row r="448">
          <cell r="A448">
            <v>445</v>
          </cell>
          <cell r="C448">
            <v>3705003131</v>
          </cell>
          <cell r="D448" t="str">
            <v>利津通信楼の机架-7</v>
          </cell>
        </row>
        <row r="449">
          <cell r="A449">
            <v>446</v>
          </cell>
          <cell r="C449">
            <v>3705003132</v>
          </cell>
          <cell r="D449" t="str">
            <v>利津通信楼の机架-8</v>
          </cell>
        </row>
        <row r="450">
          <cell r="A450">
            <v>447</v>
          </cell>
          <cell r="C450">
            <v>3705003133</v>
          </cell>
          <cell r="D450" t="str">
            <v>利津通信楼の机架-9</v>
          </cell>
        </row>
        <row r="451">
          <cell r="A451">
            <v>448</v>
          </cell>
          <cell r="C451">
            <v>3705004111</v>
          </cell>
          <cell r="D451" t="str">
            <v>利津陈庄の机架-1</v>
          </cell>
        </row>
        <row r="452">
          <cell r="A452">
            <v>449</v>
          </cell>
          <cell r="C452">
            <v>3705004112</v>
          </cell>
          <cell r="D452" t="str">
            <v>利津陈庄の机架-2</v>
          </cell>
        </row>
        <row r="453">
          <cell r="A453">
            <v>450</v>
          </cell>
          <cell r="C453">
            <v>3705004113</v>
          </cell>
          <cell r="D453" t="str">
            <v>利津陈庄の机架-3</v>
          </cell>
        </row>
        <row r="454">
          <cell r="A454">
            <v>451</v>
          </cell>
          <cell r="C454">
            <v>3705004121</v>
          </cell>
          <cell r="D454" t="str">
            <v>利津陈庄の机架-4</v>
          </cell>
        </row>
        <row r="455">
          <cell r="A455">
            <v>452</v>
          </cell>
          <cell r="C455">
            <v>3705004122</v>
          </cell>
          <cell r="D455" t="str">
            <v>利津陈庄の机架-5</v>
          </cell>
        </row>
        <row r="456">
          <cell r="A456">
            <v>453</v>
          </cell>
          <cell r="C456">
            <v>3705004123</v>
          </cell>
          <cell r="D456" t="str">
            <v>利津陈庄の机架-6</v>
          </cell>
        </row>
        <row r="457">
          <cell r="A457">
            <v>454</v>
          </cell>
          <cell r="C457">
            <v>3705004131</v>
          </cell>
          <cell r="D457" t="str">
            <v>利津陈庄の机架-7</v>
          </cell>
        </row>
        <row r="458">
          <cell r="A458">
            <v>455</v>
          </cell>
          <cell r="C458">
            <v>3705004132</v>
          </cell>
          <cell r="D458" t="str">
            <v>利津陈庄の机架-8</v>
          </cell>
        </row>
        <row r="459">
          <cell r="A459">
            <v>456</v>
          </cell>
          <cell r="C459">
            <v>3705004133</v>
          </cell>
          <cell r="D459" t="str">
            <v>利津陈庄の机架-9</v>
          </cell>
        </row>
        <row r="460">
          <cell r="A460">
            <v>457</v>
          </cell>
          <cell r="C460">
            <v>3705005111</v>
          </cell>
          <cell r="D460" t="str">
            <v>垦利の机架-1</v>
          </cell>
        </row>
        <row r="461">
          <cell r="A461">
            <v>458</v>
          </cell>
          <cell r="C461">
            <v>3705005112</v>
          </cell>
          <cell r="D461" t="str">
            <v>垦利の机架-2</v>
          </cell>
        </row>
        <row r="462">
          <cell r="A462">
            <v>459</v>
          </cell>
          <cell r="C462">
            <v>3705005113</v>
          </cell>
          <cell r="D462" t="str">
            <v>垦利の机架-3</v>
          </cell>
        </row>
        <row r="463">
          <cell r="A463">
            <v>460</v>
          </cell>
          <cell r="C463">
            <v>3705005121</v>
          </cell>
          <cell r="D463" t="str">
            <v>垦利の机架-4</v>
          </cell>
        </row>
        <row r="464">
          <cell r="A464">
            <v>461</v>
          </cell>
          <cell r="C464">
            <v>3705005122</v>
          </cell>
          <cell r="D464" t="str">
            <v>垦利の机架-5</v>
          </cell>
        </row>
        <row r="465">
          <cell r="A465">
            <v>462</v>
          </cell>
          <cell r="C465">
            <v>3705005123</v>
          </cell>
          <cell r="D465" t="str">
            <v>垦利の机架-6</v>
          </cell>
        </row>
        <row r="466">
          <cell r="A466">
            <v>463</v>
          </cell>
          <cell r="C466">
            <v>3705005131</v>
          </cell>
          <cell r="D466" t="str">
            <v>垦利の机架-7</v>
          </cell>
        </row>
        <row r="467">
          <cell r="A467">
            <v>464</v>
          </cell>
          <cell r="C467">
            <v>3705005132</v>
          </cell>
          <cell r="D467" t="str">
            <v>垦利の机架-8</v>
          </cell>
        </row>
        <row r="468">
          <cell r="A468">
            <v>465</v>
          </cell>
          <cell r="C468">
            <v>3705005133</v>
          </cell>
          <cell r="D468" t="str">
            <v>垦利の机架-9</v>
          </cell>
        </row>
        <row r="469">
          <cell r="A469">
            <v>466</v>
          </cell>
          <cell r="C469">
            <v>3705006111</v>
          </cell>
          <cell r="D469" t="str">
            <v>广饶の机架-1</v>
          </cell>
        </row>
        <row r="470">
          <cell r="A470">
            <v>467</v>
          </cell>
          <cell r="C470">
            <v>3705006112</v>
          </cell>
          <cell r="D470" t="str">
            <v>广饶の机架-2</v>
          </cell>
        </row>
        <row r="471">
          <cell r="A471">
            <v>468</v>
          </cell>
          <cell r="C471">
            <v>3705006113</v>
          </cell>
          <cell r="D471" t="str">
            <v>广饶の机架-3</v>
          </cell>
        </row>
        <row r="472">
          <cell r="A472">
            <v>469</v>
          </cell>
          <cell r="C472">
            <v>3705006121</v>
          </cell>
          <cell r="D472" t="str">
            <v>广饶の机架-4</v>
          </cell>
        </row>
        <row r="473">
          <cell r="A473">
            <v>470</v>
          </cell>
          <cell r="C473">
            <v>3705006122</v>
          </cell>
          <cell r="D473" t="str">
            <v>广饶の机架-5</v>
          </cell>
        </row>
        <row r="474">
          <cell r="A474">
            <v>471</v>
          </cell>
          <cell r="C474">
            <v>3705006123</v>
          </cell>
          <cell r="D474" t="str">
            <v>广饶の机架-6</v>
          </cell>
        </row>
        <row r="475">
          <cell r="A475">
            <v>472</v>
          </cell>
          <cell r="C475">
            <v>3705006131</v>
          </cell>
          <cell r="D475" t="str">
            <v>广饶の机架-7</v>
          </cell>
        </row>
        <row r="476">
          <cell r="A476">
            <v>473</v>
          </cell>
          <cell r="C476">
            <v>3705006132</v>
          </cell>
          <cell r="D476" t="str">
            <v>广饶の机架-8</v>
          </cell>
        </row>
        <row r="477">
          <cell r="A477">
            <v>474</v>
          </cell>
          <cell r="C477">
            <v>3705006133</v>
          </cell>
          <cell r="D477" t="str">
            <v>广饶の机架-9</v>
          </cell>
        </row>
        <row r="478">
          <cell r="A478">
            <v>475</v>
          </cell>
          <cell r="C478">
            <v>3706001111</v>
          </cell>
          <cell r="D478" t="str">
            <v>烟台大季家の机架-1</v>
          </cell>
        </row>
        <row r="479">
          <cell r="A479">
            <v>476</v>
          </cell>
          <cell r="C479">
            <v>3706001112</v>
          </cell>
          <cell r="D479" t="str">
            <v>烟台大季家の机架-2</v>
          </cell>
        </row>
        <row r="480">
          <cell r="A480">
            <v>477</v>
          </cell>
          <cell r="C480">
            <v>3706001113</v>
          </cell>
          <cell r="D480" t="str">
            <v>烟台大季家の机架-3</v>
          </cell>
        </row>
        <row r="481">
          <cell r="A481">
            <v>478</v>
          </cell>
          <cell r="C481">
            <v>3706001121</v>
          </cell>
          <cell r="D481" t="str">
            <v>烟台大季家の机架-4</v>
          </cell>
        </row>
        <row r="482">
          <cell r="A482">
            <v>479</v>
          </cell>
          <cell r="C482">
            <v>3706001122</v>
          </cell>
          <cell r="D482" t="str">
            <v>烟台大季家の机架-5</v>
          </cell>
        </row>
        <row r="483">
          <cell r="A483">
            <v>480</v>
          </cell>
          <cell r="C483">
            <v>3706001123</v>
          </cell>
          <cell r="D483" t="str">
            <v>烟台大季家の机架-6</v>
          </cell>
        </row>
        <row r="484">
          <cell r="A484">
            <v>481</v>
          </cell>
          <cell r="C484">
            <v>3706001131</v>
          </cell>
          <cell r="D484" t="str">
            <v>烟台大季家の机架-7</v>
          </cell>
        </row>
        <row r="485">
          <cell r="A485">
            <v>482</v>
          </cell>
          <cell r="C485">
            <v>3706001132</v>
          </cell>
          <cell r="D485" t="str">
            <v>烟台大季家の机架-8</v>
          </cell>
        </row>
        <row r="486">
          <cell r="A486">
            <v>483</v>
          </cell>
          <cell r="C486">
            <v>3706001133</v>
          </cell>
          <cell r="D486" t="str">
            <v>烟台大季家の机架-9</v>
          </cell>
        </row>
        <row r="487">
          <cell r="A487">
            <v>484</v>
          </cell>
          <cell r="C487">
            <v>3706001211</v>
          </cell>
          <cell r="D487" t="str">
            <v>烟台大季家の机架-10</v>
          </cell>
        </row>
        <row r="488">
          <cell r="A488">
            <v>485</v>
          </cell>
          <cell r="C488">
            <v>3706001212</v>
          </cell>
          <cell r="D488" t="str">
            <v>烟台大季家の机架-11</v>
          </cell>
        </row>
        <row r="489">
          <cell r="A489">
            <v>486</v>
          </cell>
          <cell r="C489">
            <v>3706001213</v>
          </cell>
          <cell r="D489" t="str">
            <v>烟台大季家の机架-12</v>
          </cell>
        </row>
        <row r="490">
          <cell r="A490">
            <v>487</v>
          </cell>
          <cell r="C490">
            <v>3706001221</v>
          </cell>
          <cell r="D490" t="str">
            <v>烟台大季家の机架-13</v>
          </cell>
        </row>
        <row r="491">
          <cell r="A491">
            <v>488</v>
          </cell>
          <cell r="C491">
            <v>3706001222</v>
          </cell>
          <cell r="D491" t="str">
            <v>烟台大季家の机架-14</v>
          </cell>
        </row>
        <row r="492">
          <cell r="A492">
            <v>489</v>
          </cell>
          <cell r="C492">
            <v>3706001223</v>
          </cell>
          <cell r="D492" t="str">
            <v>烟台大季家の机架-15</v>
          </cell>
        </row>
        <row r="493">
          <cell r="A493">
            <v>490</v>
          </cell>
          <cell r="C493">
            <v>3706001231</v>
          </cell>
          <cell r="D493" t="str">
            <v>烟台大季家の机架-16</v>
          </cell>
        </row>
        <row r="494">
          <cell r="A494">
            <v>491</v>
          </cell>
          <cell r="C494">
            <v>3706001232</v>
          </cell>
          <cell r="D494" t="str">
            <v>烟台大季家の机架-17</v>
          </cell>
        </row>
        <row r="495">
          <cell r="A495">
            <v>492</v>
          </cell>
          <cell r="C495">
            <v>3706001233</v>
          </cell>
          <cell r="D495" t="str">
            <v>烟台大季家の机架-18</v>
          </cell>
        </row>
        <row r="496">
          <cell r="A496">
            <v>493</v>
          </cell>
          <cell r="C496">
            <v>3706002111</v>
          </cell>
          <cell r="D496" t="str">
            <v>烟台大海阳の机架-1</v>
          </cell>
        </row>
        <row r="497">
          <cell r="A497">
            <v>494</v>
          </cell>
          <cell r="C497">
            <v>3706002112</v>
          </cell>
          <cell r="D497" t="str">
            <v>烟台大海阳の机架-2</v>
          </cell>
        </row>
        <row r="498">
          <cell r="A498">
            <v>495</v>
          </cell>
          <cell r="C498">
            <v>3706002113</v>
          </cell>
          <cell r="D498" t="str">
            <v>烟台大海阳の机架-3</v>
          </cell>
        </row>
        <row r="499">
          <cell r="A499">
            <v>496</v>
          </cell>
          <cell r="C499">
            <v>3706002121</v>
          </cell>
          <cell r="D499" t="str">
            <v>烟台大海阳の机架-4</v>
          </cell>
        </row>
        <row r="500">
          <cell r="A500">
            <v>497</v>
          </cell>
          <cell r="C500">
            <v>3706002122</v>
          </cell>
          <cell r="D500" t="str">
            <v>烟台大海阳の机架-5</v>
          </cell>
        </row>
        <row r="501">
          <cell r="A501">
            <v>498</v>
          </cell>
          <cell r="C501">
            <v>3706002123</v>
          </cell>
          <cell r="D501" t="str">
            <v>烟台大海阳の机架-6</v>
          </cell>
        </row>
        <row r="502">
          <cell r="A502">
            <v>499</v>
          </cell>
          <cell r="C502">
            <v>3706002131</v>
          </cell>
          <cell r="D502" t="str">
            <v>烟台大海阳の机架-7</v>
          </cell>
        </row>
        <row r="503">
          <cell r="A503">
            <v>500</v>
          </cell>
          <cell r="C503">
            <v>3706002132</v>
          </cell>
          <cell r="D503" t="str">
            <v>烟台大海阳の机架-8</v>
          </cell>
        </row>
        <row r="504">
          <cell r="A504">
            <v>501</v>
          </cell>
          <cell r="C504">
            <v>3706002133</v>
          </cell>
          <cell r="D504" t="str">
            <v>烟台大海阳の机架-9</v>
          </cell>
        </row>
        <row r="505">
          <cell r="A505">
            <v>502</v>
          </cell>
          <cell r="C505">
            <v>3706003111</v>
          </cell>
          <cell r="D505" t="str">
            <v>烟台开发区の机架-1</v>
          </cell>
        </row>
        <row r="506">
          <cell r="A506">
            <v>503</v>
          </cell>
          <cell r="C506">
            <v>3706003112</v>
          </cell>
          <cell r="D506" t="str">
            <v>烟台开发区の机架-2</v>
          </cell>
        </row>
        <row r="507">
          <cell r="A507">
            <v>504</v>
          </cell>
          <cell r="C507">
            <v>3706003113</v>
          </cell>
          <cell r="D507" t="str">
            <v>烟台开发区の机架-3</v>
          </cell>
        </row>
        <row r="508">
          <cell r="A508">
            <v>505</v>
          </cell>
          <cell r="C508">
            <v>3706003121</v>
          </cell>
          <cell r="D508" t="str">
            <v>烟台开发区の机架-4</v>
          </cell>
        </row>
        <row r="509">
          <cell r="A509">
            <v>506</v>
          </cell>
          <cell r="C509">
            <v>3706003122</v>
          </cell>
          <cell r="D509" t="str">
            <v>烟台开发区の机架-5</v>
          </cell>
        </row>
        <row r="510">
          <cell r="A510">
            <v>507</v>
          </cell>
          <cell r="C510">
            <v>3706003123</v>
          </cell>
          <cell r="D510" t="str">
            <v>烟台开发区の机架-6</v>
          </cell>
        </row>
        <row r="511">
          <cell r="A511">
            <v>508</v>
          </cell>
          <cell r="C511">
            <v>3706003131</v>
          </cell>
          <cell r="D511" t="str">
            <v>烟台开发区の机架-7</v>
          </cell>
        </row>
        <row r="512">
          <cell r="A512">
            <v>509</v>
          </cell>
          <cell r="C512">
            <v>3706003132</v>
          </cell>
          <cell r="D512" t="str">
            <v>烟台开发区の机架-8</v>
          </cell>
        </row>
        <row r="513">
          <cell r="A513">
            <v>510</v>
          </cell>
          <cell r="C513">
            <v>3706003133</v>
          </cell>
          <cell r="D513" t="str">
            <v>烟台开发区の机架-9</v>
          </cell>
        </row>
        <row r="514">
          <cell r="A514">
            <v>511</v>
          </cell>
          <cell r="C514">
            <v>3706004111</v>
          </cell>
          <cell r="D514" t="str">
            <v>芝罘区青年路の机架-1</v>
          </cell>
        </row>
        <row r="515">
          <cell r="A515">
            <v>512</v>
          </cell>
          <cell r="C515">
            <v>3706004112</v>
          </cell>
          <cell r="D515" t="str">
            <v>芝罘区青年路の机架-2</v>
          </cell>
        </row>
        <row r="516">
          <cell r="A516">
            <v>513</v>
          </cell>
          <cell r="C516">
            <v>3706004113</v>
          </cell>
          <cell r="D516" t="str">
            <v>芝罘区青年路の机架-3</v>
          </cell>
        </row>
        <row r="517">
          <cell r="A517">
            <v>514</v>
          </cell>
          <cell r="C517">
            <v>3706004121</v>
          </cell>
          <cell r="D517" t="str">
            <v>芝罘区青年路の机架-4</v>
          </cell>
        </row>
        <row r="518">
          <cell r="A518">
            <v>515</v>
          </cell>
          <cell r="C518">
            <v>3706004122</v>
          </cell>
          <cell r="D518" t="str">
            <v>芝罘区青年路の机架-5</v>
          </cell>
        </row>
        <row r="519">
          <cell r="A519">
            <v>516</v>
          </cell>
          <cell r="C519">
            <v>3706004123</v>
          </cell>
          <cell r="D519" t="str">
            <v>芝罘区青年路の机架-6</v>
          </cell>
        </row>
        <row r="520">
          <cell r="A520">
            <v>517</v>
          </cell>
          <cell r="C520">
            <v>3706004131</v>
          </cell>
          <cell r="D520" t="str">
            <v>芝罘区青年路の机架-7</v>
          </cell>
        </row>
        <row r="521">
          <cell r="A521">
            <v>518</v>
          </cell>
          <cell r="C521">
            <v>3706004132</v>
          </cell>
          <cell r="D521" t="str">
            <v>芝罘区青年路の机架-8</v>
          </cell>
        </row>
        <row r="522">
          <cell r="A522">
            <v>519</v>
          </cell>
          <cell r="C522">
            <v>3706004133</v>
          </cell>
          <cell r="D522" t="str">
            <v>芝罘区青年路の机架-9</v>
          </cell>
        </row>
        <row r="523">
          <cell r="A523">
            <v>520</v>
          </cell>
          <cell r="C523">
            <v>3706005111</v>
          </cell>
          <cell r="D523" t="str">
            <v>龙口龙口镇の机架-1</v>
          </cell>
        </row>
        <row r="524">
          <cell r="A524">
            <v>521</v>
          </cell>
          <cell r="C524">
            <v>3706005112</v>
          </cell>
          <cell r="D524" t="str">
            <v>龙口龙口镇の机架-2</v>
          </cell>
        </row>
        <row r="525">
          <cell r="A525">
            <v>522</v>
          </cell>
          <cell r="C525">
            <v>3706005113</v>
          </cell>
          <cell r="D525" t="str">
            <v>龙口龙口镇の机架-3</v>
          </cell>
        </row>
        <row r="526">
          <cell r="A526">
            <v>523</v>
          </cell>
          <cell r="C526">
            <v>3706005121</v>
          </cell>
          <cell r="D526" t="str">
            <v>龙口龙口镇の机架-4</v>
          </cell>
        </row>
        <row r="527">
          <cell r="A527">
            <v>524</v>
          </cell>
          <cell r="C527">
            <v>3706005122</v>
          </cell>
          <cell r="D527" t="str">
            <v>龙口龙口镇の机架-5</v>
          </cell>
        </row>
        <row r="528">
          <cell r="A528">
            <v>525</v>
          </cell>
          <cell r="C528">
            <v>3706005123</v>
          </cell>
          <cell r="D528" t="str">
            <v>龙口龙口镇の机架-6</v>
          </cell>
        </row>
        <row r="529">
          <cell r="A529">
            <v>526</v>
          </cell>
          <cell r="C529">
            <v>3706005131</v>
          </cell>
          <cell r="D529" t="str">
            <v>龙口龙口镇の机架-7</v>
          </cell>
        </row>
        <row r="530">
          <cell r="A530">
            <v>527</v>
          </cell>
          <cell r="C530">
            <v>3706005132</v>
          </cell>
          <cell r="D530" t="str">
            <v>龙口龙口镇の机架-8</v>
          </cell>
        </row>
        <row r="531">
          <cell r="A531">
            <v>528</v>
          </cell>
          <cell r="C531">
            <v>3706005133</v>
          </cell>
          <cell r="D531" t="str">
            <v>龙口龙口镇の机架-9</v>
          </cell>
        </row>
        <row r="532">
          <cell r="A532">
            <v>529</v>
          </cell>
          <cell r="C532">
            <v>3706006111</v>
          </cell>
          <cell r="D532" t="str">
            <v>龙口黄城の机架-1</v>
          </cell>
        </row>
        <row r="533">
          <cell r="A533">
            <v>530</v>
          </cell>
          <cell r="C533">
            <v>3706006112</v>
          </cell>
          <cell r="D533" t="str">
            <v>龙口黄城の机架-2</v>
          </cell>
        </row>
        <row r="534">
          <cell r="A534">
            <v>531</v>
          </cell>
          <cell r="C534">
            <v>3706006113</v>
          </cell>
          <cell r="D534" t="str">
            <v>龙口黄城の机架-3</v>
          </cell>
        </row>
        <row r="535">
          <cell r="A535">
            <v>532</v>
          </cell>
          <cell r="C535">
            <v>3706006121</v>
          </cell>
          <cell r="D535" t="str">
            <v>龙口黄城の机架-4</v>
          </cell>
        </row>
        <row r="536">
          <cell r="A536">
            <v>533</v>
          </cell>
          <cell r="C536">
            <v>3706006122</v>
          </cell>
          <cell r="D536" t="str">
            <v>龙口黄城の机架-5</v>
          </cell>
        </row>
        <row r="537">
          <cell r="A537">
            <v>534</v>
          </cell>
          <cell r="C537">
            <v>3706006123</v>
          </cell>
          <cell r="D537" t="str">
            <v>龙口黄城の机架-6</v>
          </cell>
        </row>
        <row r="538">
          <cell r="A538">
            <v>535</v>
          </cell>
          <cell r="C538">
            <v>3706006131</v>
          </cell>
          <cell r="D538" t="str">
            <v>龙口黄城の机架-7</v>
          </cell>
        </row>
        <row r="539">
          <cell r="A539">
            <v>536</v>
          </cell>
          <cell r="C539">
            <v>3706006132</v>
          </cell>
          <cell r="D539" t="str">
            <v>龙口黄城の机架-8</v>
          </cell>
        </row>
        <row r="540">
          <cell r="A540">
            <v>537</v>
          </cell>
          <cell r="C540">
            <v>3706006133</v>
          </cell>
          <cell r="D540" t="str">
            <v>龙口黄城の机架-9</v>
          </cell>
        </row>
        <row r="541">
          <cell r="A541">
            <v>538</v>
          </cell>
          <cell r="C541">
            <v>3706007111</v>
          </cell>
          <cell r="D541" t="str">
            <v>莱山迎春大街の机架-1</v>
          </cell>
        </row>
        <row r="542">
          <cell r="A542">
            <v>539</v>
          </cell>
          <cell r="C542">
            <v>3706007112</v>
          </cell>
          <cell r="D542" t="str">
            <v>莱山迎春大街の机架-2</v>
          </cell>
        </row>
        <row r="543">
          <cell r="A543">
            <v>540</v>
          </cell>
          <cell r="C543">
            <v>3706007113</v>
          </cell>
          <cell r="D543" t="str">
            <v>莱山迎春大街の机架-3</v>
          </cell>
        </row>
        <row r="544">
          <cell r="A544">
            <v>541</v>
          </cell>
          <cell r="C544">
            <v>3706007121</v>
          </cell>
          <cell r="D544" t="str">
            <v>莱山迎春大街の机架-4</v>
          </cell>
        </row>
        <row r="545">
          <cell r="A545">
            <v>542</v>
          </cell>
          <cell r="C545">
            <v>3706007122</v>
          </cell>
          <cell r="D545" t="str">
            <v>莱山迎春大街の机架-5</v>
          </cell>
        </row>
        <row r="546">
          <cell r="A546">
            <v>543</v>
          </cell>
          <cell r="C546">
            <v>3706007123</v>
          </cell>
          <cell r="D546" t="str">
            <v>莱山迎春大街の机架-6</v>
          </cell>
        </row>
        <row r="547">
          <cell r="A547">
            <v>544</v>
          </cell>
          <cell r="C547">
            <v>3706007131</v>
          </cell>
          <cell r="D547" t="str">
            <v>莱山迎春大街の机架-7</v>
          </cell>
        </row>
        <row r="548">
          <cell r="A548">
            <v>545</v>
          </cell>
          <cell r="C548">
            <v>3706007132</v>
          </cell>
          <cell r="D548" t="str">
            <v>莱山迎春大街の机架-8</v>
          </cell>
        </row>
        <row r="549">
          <cell r="A549">
            <v>546</v>
          </cell>
          <cell r="C549">
            <v>3706007133</v>
          </cell>
          <cell r="D549" t="str">
            <v>莱山迎春大街の机架-9</v>
          </cell>
        </row>
        <row r="550">
          <cell r="A550">
            <v>547</v>
          </cell>
          <cell r="C550">
            <v>3706008111</v>
          </cell>
          <cell r="D550" t="str">
            <v>莱阳穴坊の机架-1</v>
          </cell>
        </row>
        <row r="551">
          <cell r="A551">
            <v>548</v>
          </cell>
          <cell r="C551">
            <v>3706008112</v>
          </cell>
          <cell r="D551" t="str">
            <v>莱阳穴坊の机架-2</v>
          </cell>
        </row>
        <row r="552">
          <cell r="A552">
            <v>549</v>
          </cell>
          <cell r="C552">
            <v>3706008113</v>
          </cell>
          <cell r="D552" t="str">
            <v>莱阳穴坊の机架-3</v>
          </cell>
        </row>
        <row r="553">
          <cell r="A553">
            <v>550</v>
          </cell>
          <cell r="C553">
            <v>3706008121</v>
          </cell>
          <cell r="D553" t="str">
            <v>莱阳穴坊の机架-4</v>
          </cell>
        </row>
        <row r="554">
          <cell r="A554">
            <v>551</v>
          </cell>
          <cell r="C554">
            <v>3706008122</v>
          </cell>
          <cell r="D554" t="str">
            <v>莱阳穴坊の机架-5</v>
          </cell>
        </row>
        <row r="555">
          <cell r="A555">
            <v>552</v>
          </cell>
          <cell r="C555">
            <v>3706008123</v>
          </cell>
          <cell r="D555" t="str">
            <v>莱阳穴坊の机架-6</v>
          </cell>
        </row>
        <row r="556">
          <cell r="A556">
            <v>553</v>
          </cell>
          <cell r="C556">
            <v>3706008131</v>
          </cell>
          <cell r="D556" t="str">
            <v>莱阳穴坊の机架-7</v>
          </cell>
        </row>
        <row r="557">
          <cell r="A557">
            <v>554</v>
          </cell>
          <cell r="C557">
            <v>3706008132</v>
          </cell>
          <cell r="D557" t="str">
            <v>莱阳穴坊の机架-8</v>
          </cell>
        </row>
        <row r="558">
          <cell r="A558">
            <v>555</v>
          </cell>
          <cell r="C558">
            <v>3706008133</v>
          </cell>
          <cell r="D558" t="str">
            <v>莱阳穴坊の机架-9</v>
          </cell>
        </row>
        <row r="559">
          <cell r="A559">
            <v>556</v>
          </cell>
          <cell r="C559">
            <v>3706009111</v>
          </cell>
          <cell r="D559" t="str">
            <v>莱阳旌旗路の机架-1</v>
          </cell>
        </row>
        <row r="560">
          <cell r="A560">
            <v>557</v>
          </cell>
          <cell r="C560">
            <v>3706009112</v>
          </cell>
          <cell r="D560" t="str">
            <v>莱阳旌旗路の机架-2</v>
          </cell>
        </row>
        <row r="561">
          <cell r="A561">
            <v>558</v>
          </cell>
          <cell r="C561">
            <v>3706009113</v>
          </cell>
          <cell r="D561" t="str">
            <v>莱阳旌旗路の机架-3</v>
          </cell>
        </row>
        <row r="562">
          <cell r="A562">
            <v>559</v>
          </cell>
          <cell r="C562">
            <v>3706009121</v>
          </cell>
          <cell r="D562" t="str">
            <v>莱阳旌旗路の机架-4</v>
          </cell>
        </row>
        <row r="563">
          <cell r="A563">
            <v>560</v>
          </cell>
          <cell r="C563">
            <v>3706009122</v>
          </cell>
          <cell r="D563" t="str">
            <v>莱阳旌旗路の机架-5</v>
          </cell>
        </row>
        <row r="564">
          <cell r="A564">
            <v>561</v>
          </cell>
          <cell r="C564">
            <v>3706009123</v>
          </cell>
          <cell r="D564" t="str">
            <v>莱阳旌旗路の机架-6</v>
          </cell>
        </row>
        <row r="565">
          <cell r="A565">
            <v>562</v>
          </cell>
          <cell r="C565">
            <v>3706009131</v>
          </cell>
          <cell r="D565" t="str">
            <v>莱阳旌旗路の机架-7</v>
          </cell>
        </row>
        <row r="566">
          <cell r="A566">
            <v>563</v>
          </cell>
          <cell r="C566">
            <v>3706009132</v>
          </cell>
          <cell r="D566" t="str">
            <v>莱阳旌旗路の机架-8</v>
          </cell>
        </row>
        <row r="567">
          <cell r="A567">
            <v>564</v>
          </cell>
          <cell r="C567">
            <v>3706009133</v>
          </cell>
          <cell r="D567" t="str">
            <v>莱阳旌旗路の机架-9</v>
          </cell>
        </row>
        <row r="568">
          <cell r="A568">
            <v>565</v>
          </cell>
          <cell r="C568">
            <v>3706010111</v>
          </cell>
          <cell r="D568" t="str">
            <v>海阳海政路の机架-1</v>
          </cell>
        </row>
        <row r="569">
          <cell r="A569">
            <v>566</v>
          </cell>
          <cell r="C569">
            <v>3706010112</v>
          </cell>
          <cell r="D569" t="str">
            <v>海阳海政路の机架-2</v>
          </cell>
        </row>
        <row r="570">
          <cell r="A570">
            <v>567</v>
          </cell>
          <cell r="C570">
            <v>3706010113</v>
          </cell>
          <cell r="D570" t="str">
            <v>海阳海政路の机架-3</v>
          </cell>
        </row>
        <row r="571">
          <cell r="A571">
            <v>568</v>
          </cell>
          <cell r="C571">
            <v>3706010121</v>
          </cell>
          <cell r="D571" t="str">
            <v>海阳海政路の机架-4</v>
          </cell>
        </row>
        <row r="572">
          <cell r="A572">
            <v>569</v>
          </cell>
          <cell r="C572">
            <v>3706010122</v>
          </cell>
          <cell r="D572" t="str">
            <v>海阳海政路の机架-5</v>
          </cell>
        </row>
        <row r="573">
          <cell r="A573">
            <v>570</v>
          </cell>
          <cell r="C573">
            <v>3706010123</v>
          </cell>
          <cell r="D573" t="str">
            <v>海阳海政路の机架-6</v>
          </cell>
        </row>
        <row r="574">
          <cell r="A574">
            <v>571</v>
          </cell>
          <cell r="C574">
            <v>3706010131</v>
          </cell>
          <cell r="D574" t="str">
            <v>海阳海政路の机架-7</v>
          </cell>
        </row>
        <row r="575">
          <cell r="A575">
            <v>572</v>
          </cell>
          <cell r="C575">
            <v>3706010132</v>
          </cell>
          <cell r="D575" t="str">
            <v>海阳海政路の机架-8</v>
          </cell>
        </row>
        <row r="576">
          <cell r="A576">
            <v>573</v>
          </cell>
          <cell r="C576">
            <v>3706010133</v>
          </cell>
          <cell r="D576" t="str">
            <v>海阳海政路の机架-9</v>
          </cell>
        </row>
        <row r="577">
          <cell r="A577">
            <v>574</v>
          </cell>
          <cell r="C577">
            <v>3706011111</v>
          </cell>
          <cell r="D577" t="str">
            <v>海阳留格庄の机架-1</v>
          </cell>
        </row>
        <row r="578">
          <cell r="A578">
            <v>575</v>
          </cell>
          <cell r="C578">
            <v>3706011112</v>
          </cell>
          <cell r="D578" t="str">
            <v>海阳留格庄の机架-2</v>
          </cell>
        </row>
        <row r="579">
          <cell r="A579">
            <v>576</v>
          </cell>
          <cell r="C579">
            <v>3706011113</v>
          </cell>
          <cell r="D579" t="str">
            <v>海阳留格庄の机架-3</v>
          </cell>
        </row>
        <row r="580">
          <cell r="A580">
            <v>577</v>
          </cell>
          <cell r="C580">
            <v>3706011121</v>
          </cell>
          <cell r="D580" t="str">
            <v>海阳留格庄の机架-4</v>
          </cell>
        </row>
        <row r="581">
          <cell r="A581">
            <v>578</v>
          </cell>
          <cell r="C581">
            <v>3706011122</v>
          </cell>
          <cell r="D581" t="str">
            <v>海阳留格庄の机架-5</v>
          </cell>
        </row>
        <row r="582">
          <cell r="A582">
            <v>579</v>
          </cell>
          <cell r="C582">
            <v>3706011123</v>
          </cell>
          <cell r="D582" t="str">
            <v>海阳留格庄の机架-6</v>
          </cell>
        </row>
        <row r="583">
          <cell r="A583">
            <v>580</v>
          </cell>
          <cell r="C583">
            <v>3706011131</v>
          </cell>
          <cell r="D583" t="str">
            <v>海阳留格庄の机架-7</v>
          </cell>
        </row>
        <row r="584">
          <cell r="A584">
            <v>581</v>
          </cell>
          <cell r="C584">
            <v>3706011132</v>
          </cell>
          <cell r="D584" t="str">
            <v>海阳留格庄の机架-8</v>
          </cell>
        </row>
        <row r="585">
          <cell r="A585">
            <v>582</v>
          </cell>
          <cell r="C585">
            <v>3706011133</v>
          </cell>
          <cell r="D585" t="str">
            <v>海阳留格庄の机架-9</v>
          </cell>
        </row>
        <row r="586">
          <cell r="A586">
            <v>583</v>
          </cell>
          <cell r="C586">
            <v>3706012111</v>
          </cell>
          <cell r="D586" t="str">
            <v>栖霞市局の机架-1</v>
          </cell>
        </row>
        <row r="587">
          <cell r="A587">
            <v>584</v>
          </cell>
          <cell r="C587">
            <v>3706012112</v>
          </cell>
          <cell r="D587" t="str">
            <v>栖霞市局の机架-2</v>
          </cell>
        </row>
        <row r="588">
          <cell r="A588">
            <v>585</v>
          </cell>
          <cell r="C588">
            <v>3706012113</v>
          </cell>
          <cell r="D588" t="str">
            <v>栖霞市局の机架-3</v>
          </cell>
        </row>
        <row r="589">
          <cell r="A589">
            <v>586</v>
          </cell>
          <cell r="C589">
            <v>3706012121</v>
          </cell>
          <cell r="D589" t="str">
            <v>栖霞市局の机架-4</v>
          </cell>
        </row>
        <row r="590">
          <cell r="A590">
            <v>587</v>
          </cell>
          <cell r="C590">
            <v>3706012122</v>
          </cell>
          <cell r="D590" t="str">
            <v>栖霞市局の机架-5</v>
          </cell>
        </row>
        <row r="591">
          <cell r="A591">
            <v>588</v>
          </cell>
          <cell r="C591">
            <v>3706012123</v>
          </cell>
          <cell r="D591" t="str">
            <v>栖霞市局の机架-6</v>
          </cell>
        </row>
        <row r="592">
          <cell r="A592">
            <v>589</v>
          </cell>
          <cell r="C592">
            <v>3706012131</v>
          </cell>
          <cell r="D592" t="str">
            <v>栖霞市局の机架-7</v>
          </cell>
        </row>
        <row r="593">
          <cell r="A593">
            <v>590</v>
          </cell>
          <cell r="C593">
            <v>3706012132</v>
          </cell>
          <cell r="D593" t="str">
            <v>栖霞市局の机架-8</v>
          </cell>
        </row>
        <row r="594">
          <cell r="A594">
            <v>591</v>
          </cell>
          <cell r="C594">
            <v>3706012133</v>
          </cell>
          <cell r="D594" t="str">
            <v>栖霞市局の机架-9</v>
          </cell>
        </row>
        <row r="595">
          <cell r="A595">
            <v>592</v>
          </cell>
          <cell r="C595">
            <v>3706013111</v>
          </cell>
          <cell r="D595" t="str">
            <v>栖霞桃村の机架-1</v>
          </cell>
        </row>
        <row r="596">
          <cell r="A596">
            <v>593</v>
          </cell>
          <cell r="C596">
            <v>3706013112</v>
          </cell>
          <cell r="D596" t="str">
            <v>栖霞桃村の机架-2</v>
          </cell>
        </row>
        <row r="597">
          <cell r="A597">
            <v>594</v>
          </cell>
          <cell r="C597">
            <v>3706013113</v>
          </cell>
          <cell r="D597" t="str">
            <v>栖霞桃村の机架-3</v>
          </cell>
        </row>
        <row r="598">
          <cell r="A598">
            <v>595</v>
          </cell>
          <cell r="C598">
            <v>3706013121</v>
          </cell>
          <cell r="D598" t="str">
            <v>栖霞桃村の机架-4</v>
          </cell>
        </row>
        <row r="599">
          <cell r="A599">
            <v>596</v>
          </cell>
          <cell r="C599">
            <v>3706013122</v>
          </cell>
          <cell r="D599" t="str">
            <v>栖霞桃村の机架-5</v>
          </cell>
        </row>
        <row r="600">
          <cell r="A600">
            <v>597</v>
          </cell>
          <cell r="C600">
            <v>3706013123</v>
          </cell>
          <cell r="D600" t="str">
            <v>栖霞桃村の机架-6</v>
          </cell>
        </row>
        <row r="601">
          <cell r="A601">
            <v>598</v>
          </cell>
          <cell r="C601">
            <v>3706013131</v>
          </cell>
          <cell r="D601" t="str">
            <v>栖霞桃村の机架-7</v>
          </cell>
        </row>
        <row r="602">
          <cell r="A602">
            <v>599</v>
          </cell>
          <cell r="C602">
            <v>3706013132</v>
          </cell>
          <cell r="D602" t="str">
            <v>栖霞桃村の机架-8</v>
          </cell>
        </row>
        <row r="603">
          <cell r="A603">
            <v>600</v>
          </cell>
          <cell r="C603">
            <v>3706013133</v>
          </cell>
          <cell r="D603" t="str">
            <v>栖霞桃村の机架-9</v>
          </cell>
        </row>
        <row r="604">
          <cell r="A604">
            <v>601</v>
          </cell>
          <cell r="C604">
            <v>3706014111</v>
          </cell>
          <cell r="D604" t="str">
            <v>莱州平里店の机架-1</v>
          </cell>
        </row>
        <row r="605">
          <cell r="A605">
            <v>602</v>
          </cell>
          <cell r="C605">
            <v>3706014112</v>
          </cell>
          <cell r="D605" t="str">
            <v>莱州平里店の机架-2</v>
          </cell>
        </row>
        <row r="606">
          <cell r="A606">
            <v>603</v>
          </cell>
          <cell r="C606">
            <v>3706014113</v>
          </cell>
          <cell r="D606" t="str">
            <v>莱州平里店の机架-3</v>
          </cell>
        </row>
        <row r="607">
          <cell r="A607">
            <v>604</v>
          </cell>
          <cell r="C607">
            <v>3706014121</v>
          </cell>
          <cell r="D607" t="str">
            <v>莱州平里店の机架-4</v>
          </cell>
        </row>
        <row r="608">
          <cell r="A608">
            <v>605</v>
          </cell>
          <cell r="C608">
            <v>3706014122</v>
          </cell>
          <cell r="D608" t="str">
            <v>莱州平里店の机架-5</v>
          </cell>
        </row>
        <row r="609">
          <cell r="A609">
            <v>606</v>
          </cell>
          <cell r="C609">
            <v>3706014123</v>
          </cell>
          <cell r="D609" t="str">
            <v>莱州平里店の机架-6</v>
          </cell>
        </row>
        <row r="610">
          <cell r="A610">
            <v>607</v>
          </cell>
          <cell r="C610">
            <v>3706014131</v>
          </cell>
          <cell r="D610" t="str">
            <v>莱州平里店の机架-7</v>
          </cell>
        </row>
        <row r="611">
          <cell r="A611">
            <v>608</v>
          </cell>
          <cell r="C611">
            <v>3706014132</v>
          </cell>
          <cell r="D611" t="str">
            <v>莱州平里店の机架-8</v>
          </cell>
        </row>
        <row r="612">
          <cell r="A612">
            <v>609</v>
          </cell>
          <cell r="C612">
            <v>3706014133</v>
          </cell>
          <cell r="D612" t="str">
            <v>莱州平里店の机架-9</v>
          </cell>
        </row>
        <row r="613">
          <cell r="A613">
            <v>610</v>
          </cell>
          <cell r="C613">
            <v>3706015111</v>
          </cell>
          <cell r="D613" t="str">
            <v>莱州沙河の机架-1</v>
          </cell>
        </row>
        <row r="614">
          <cell r="A614">
            <v>611</v>
          </cell>
          <cell r="C614">
            <v>3706015112</v>
          </cell>
          <cell r="D614" t="str">
            <v>莱州沙河の机架-2</v>
          </cell>
        </row>
        <row r="615">
          <cell r="A615">
            <v>612</v>
          </cell>
          <cell r="C615">
            <v>3706015113</v>
          </cell>
          <cell r="D615" t="str">
            <v>莱州沙河の机架-3</v>
          </cell>
        </row>
        <row r="616">
          <cell r="A616">
            <v>613</v>
          </cell>
          <cell r="C616">
            <v>3706015121</v>
          </cell>
          <cell r="D616" t="str">
            <v>莱州沙河の机架-4</v>
          </cell>
        </row>
        <row r="617">
          <cell r="A617">
            <v>614</v>
          </cell>
          <cell r="C617">
            <v>3706015122</v>
          </cell>
          <cell r="D617" t="str">
            <v>莱州沙河の机架-5</v>
          </cell>
        </row>
        <row r="618">
          <cell r="A618">
            <v>615</v>
          </cell>
          <cell r="C618">
            <v>3706015123</v>
          </cell>
          <cell r="D618" t="str">
            <v>莱州沙河の机架-6</v>
          </cell>
        </row>
        <row r="619">
          <cell r="A619">
            <v>616</v>
          </cell>
          <cell r="C619">
            <v>3706015131</v>
          </cell>
          <cell r="D619" t="str">
            <v>莱州沙河の机架-7</v>
          </cell>
        </row>
        <row r="620">
          <cell r="A620">
            <v>617</v>
          </cell>
          <cell r="C620">
            <v>3706015132</v>
          </cell>
          <cell r="D620" t="str">
            <v>莱州沙河の机架-8</v>
          </cell>
        </row>
        <row r="621">
          <cell r="A621">
            <v>618</v>
          </cell>
          <cell r="C621">
            <v>3706015133</v>
          </cell>
          <cell r="D621" t="str">
            <v>莱州沙河の机架-9</v>
          </cell>
        </row>
        <row r="622">
          <cell r="A622">
            <v>619</v>
          </cell>
          <cell r="C622">
            <v>3706016111</v>
          </cell>
          <cell r="D622" t="str">
            <v>莱州市局の机架-1</v>
          </cell>
        </row>
        <row r="623">
          <cell r="A623">
            <v>620</v>
          </cell>
          <cell r="C623">
            <v>3706016112</v>
          </cell>
          <cell r="D623" t="str">
            <v>莱州市局の机架-2</v>
          </cell>
        </row>
        <row r="624">
          <cell r="A624">
            <v>621</v>
          </cell>
          <cell r="C624">
            <v>3706016113</v>
          </cell>
          <cell r="D624" t="str">
            <v>莱州市局の机架-3</v>
          </cell>
        </row>
        <row r="625">
          <cell r="A625">
            <v>622</v>
          </cell>
          <cell r="C625">
            <v>3706016121</v>
          </cell>
          <cell r="D625" t="str">
            <v>莱州市局の机架-4</v>
          </cell>
        </row>
        <row r="626">
          <cell r="A626">
            <v>623</v>
          </cell>
          <cell r="C626">
            <v>3706016122</v>
          </cell>
          <cell r="D626" t="str">
            <v>莱州市局の机架-5</v>
          </cell>
        </row>
        <row r="627">
          <cell r="A627">
            <v>624</v>
          </cell>
          <cell r="C627">
            <v>3706016123</v>
          </cell>
          <cell r="D627" t="str">
            <v>莱州市局の机架-6</v>
          </cell>
        </row>
        <row r="628">
          <cell r="A628">
            <v>625</v>
          </cell>
          <cell r="C628">
            <v>3706016131</v>
          </cell>
          <cell r="D628" t="str">
            <v>莱州市局の机架-7</v>
          </cell>
        </row>
        <row r="629">
          <cell r="A629">
            <v>626</v>
          </cell>
          <cell r="C629">
            <v>3706016132</v>
          </cell>
          <cell r="D629" t="str">
            <v>莱州市局の机架-8</v>
          </cell>
        </row>
        <row r="630">
          <cell r="A630">
            <v>627</v>
          </cell>
          <cell r="C630">
            <v>3706016133</v>
          </cell>
          <cell r="D630" t="str">
            <v>莱州市局の机架-9</v>
          </cell>
        </row>
        <row r="631">
          <cell r="A631">
            <v>628</v>
          </cell>
          <cell r="C631">
            <v>3706017111</v>
          </cell>
          <cell r="D631" t="str">
            <v>莱州朱桥の机架-1</v>
          </cell>
        </row>
        <row r="632">
          <cell r="A632">
            <v>629</v>
          </cell>
          <cell r="C632">
            <v>3706017112</v>
          </cell>
          <cell r="D632" t="str">
            <v>莱州朱桥の机架-2</v>
          </cell>
        </row>
        <row r="633">
          <cell r="A633">
            <v>630</v>
          </cell>
          <cell r="C633">
            <v>3706017113</v>
          </cell>
          <cell r="D633" t="str">
            <v>莱州朱桥の机架-3</v>
          </cell>
        </row>
        <row r="634">
          <cell r="A634">
            <v>631</v>
          </cell>
          <cell r="C634">
            <v>3706017121</v>
          </cell>
          <cell r="D634" t="str">
            <v>莱州朱桥の机架-4</v>
          </cell>
        </row>
        <row r="635">
          <cell r="A635">
            <v>632</v>
          </cell>
          <cell r="C635">
            <v>3706017122</v>
          </cell>
          <cell r="D635" t="str">
            <v>莱州朱桥の机架-5</v>
          </cell>
        </row>
        <row r="636">
          <cell r="A636">
            <v>633</v>
          </cell>
          <cell r="C636">
            <v>3706017123</v>
          </cell>
          <cell r="D636" t="str">
            <v>莱州朱桥の机架-6</v>
          </cell>
        </row>
        <row r="637">
          <cell r="A637">
            <v>634</v>
          </cell>
          <cell r="C637">
            <v>3706017131</v>
          </cell>
          <cell r="D637" t="str">
            <v>莱州朱桥の机架-7</v>
          </cell>
        </row>
        <row r="638">
          <cell r="A638">
            <v>635</v>
          </cell>
          <cell r="C638">
            <v>3706017132</v>
          </cell>
          <cell r="D638" t="str">
            <v>莱州朱桥の机架-8</v>
          </cell>
        </row>
        <row r="639">
          <cell r="A639">
            <v>636</v>
          </cell>
          <cell r="C639">
            <v>3706017133</v>
          </cell>
          <cell r="D639" t="str">
            <v>莱州朱桥の机架-9</v>
          </cell>
        </row>
        <row r="640">
          <cell r="A640">
            <v>637</v>
          </cell>
          <cell r="C640">
            <v>3706018111</v>
          </cell>
          <cell r="D640" t="str">
            <v>蓬莱老局の机架-1</v>
          </cell>
        </row>
        <row r="641">
          <cell r="A641">
            <v>638</v>
          </cell>
          <cell r="C641">
            <v>3706018112</v>
          </cell>
          <cell r="D641" t="str">
            <v>蓬莱老局の机架-2</v>
          </cell>
        </row>
        <row r="642">
          <cell r="A642">
            <v>639</v>
          </cell>
          <cell r="C642">
            <v>3706018113</v>
          </cell>
          <cell r="D642" t="str">
            <v>蓬莱老局の机架-3</v>
          </cell>
        </row>
        <row r="643">
          <cell r="A643">
            <v>640</v>
          </cell>
          <cell r="C643">
            <v>3706018121</v>
          </cell>
          <cell r="D643" t="str">
            <v>蓬莱老局の机架-4</v>
          </cell>
        </row>
        <row r="644">
          <cell r="A644">
            <v>641</v>
          </cell>
          <cell r="C644">
            <v>3706018122</v>
          </cell>
          <cell r="D644" t="str">
            <v>蓬莱老局の机架-5</v>
          </cell>
        </row>
        <row r="645">
          <cell r="A645">
            <v>642</v>
          </cell>
          <cell r="C645">
            <v>3706018123</v>
          </cell>
          <cell r="D645" t="str">
            <v>蓬莱老局の机架-6</v>
          </cell>
        </row>
        <row r="646">
          <cell r="A646">
            <v>643</v>
          </cell>
          <cell r="C646">
            <v>3706018131</v>
          </cell>
          <cell r="D646" t="str">
            <v>蓬莱老局の机架-7</v>
          </cell>
        </row>
        <row r="647">
          <cell r="A647">
            <v>644</v>
          </cell>
          <cell r="C647">
            <v>3706018132</v>
          </cell>
          <cell r="D647" t="str">
            <v>蓬莱老局の机架-8</v>
          </cell>
        </row>
        <row r="648">
          <cell r="A648">
            <v>645</v>
          </cell>
          <cell r="C648">
            <v>3706018133</v>
          </cell>
          <cell r="D648" t="str">
            <v>蓬莱老局の机架-9</v>
          </cell>
        </row>
        <row r="649">
          <cell r="A649">
            <v>646</v>
          </cell>
          <cell r="C649">
            <v>3706019111</v>
          </cell>
          <cell r="D649" t="str">
            <v>蓬莱大辛店の机架-1</v>
          </cell>
        </row>
        <row r="650">
          <cell r="A650">
            <v>647</v>
          </cell>
          <cell r="C650">
            <v>3706019112</v>
          </cell>
          <cell r="D650" t="str">
            <v>蓬莱大辛店の机架-2</v>
          </cell>
        </row>
        <row r="651">
          <cell r="A651">
            <v>648</v>
          </cell>
          <cell r="C651">
            <v>3706019113</v>
          </cell>
          <cell r="D651" t="str">
            <v>蓬莱大辛店の机架-3</v>
          </cell>
        </row>
        <row r="652">
          <cell r="A652">
            <v>649</v>
          </cell>
          <cell r="C652">
            <v>3706019121</v>
          </cell>
          <cell r="D652" t="str">
            <v>蓬莱大辛店の机架-4</v>
          </cell>
        </row>
        <row r="653">
          <cell r="A653">
            <v>650</v>
          </cell>
          <cell r="C653">
            <v>3706019122</v>
          </cell>
          <cell r="D653" t="str">
            <v>蓬莱大辛店の机架-5</v>
          </cell>
        </row>
        <row r="654">
          <cell r="A654">
            <v>651</v>
          </cell>
          <cell r="C654">
            <v>3706019123</v>
          </cell>
          <cell r="D654" t="str">
            <v>蓬莱大辛店の机架-6</v>
          </cell>
        </row>
        <row r="655">
          <cell r="A655">
            <v>652</v>
          </cell>
          <cell r="C655">
            <v>3706019131</v>
          </cell>
          <cell r="D655" t="str">
            <v>蓬莱大辛店の机架-7</v>
          </cell>
        </row>
        <row r="656">
          <cell r="A656">
            <v>653</v>
          </cell>
          <cell r="C656">
            <v>3706019132</v>
          </cell>
          <cell r="D656" t="str">
            <v>蓬莱大辛店の机架-8</v>
          </cell>
        </row>
        <row r="657">
          <cell r="A657">
            <v>654</v>
          </cell>
          <cell r="C657">
            <v>3706019133</v>
          </cell>
          <cell r="D657" t="str">
            <v>蓬莱大辛店の机架-9</v>
          </cell>
        </row>
        <row r="658">
          <cell r="A658">
            <v>655</v>
          </cell>
          <cell r="C658">
            <v>3706020111</v>
          </cell>
          <cell r="D658" t="str">
            <v>牟平42局の机架-1</v>
          </cell>
        </row>
        <row r="659">
          <cell r="A659">
            <v>656</v>
          </cell>
          <cell r="C659">
            <v>3706020112</v>
          </cell>
          <cell r="D659" t="str">
            <v>牟平42局の机架-2</v>
          </cell>
        </row>
        <row r="660">
          <cell r="A660">
            <v>657</v>
          </cell>
          <cell r="C660">
            <v>3706020113</v>
          </cell>
          <cell r="D660" t="str">
            <v>牟平42局の机架-3</v>
          </cell>
        </row>
        <row r="661">
          <cell r="A661">
            <v>658</v>
          </cell>
          <cell r="C661">
            <v>3706020121</v>
          </cell>
          <cell r="D661" t="str">
            <v>牟平42局の机架-4</v>
          </cell>
        </row>
        <row r="662">
          <cell r="A662">
            <v>659</v>
          </cell>
          <cell r="C662">
            <v>3706020122</v>
          </cell>
          <cell r="D662" t="str">
            <v>牟平42局の机架-5</v>
          </cell>
        </row>
        <row r="663">
          <cell r="A663">
            <v>660</v>
          </cell>
          <cell r="C663">
            <v>3706020123</v>
          </cell>
          <cell r="D663" t="str">
            <v>牟平42局の机架-6</v>
          </cell>
        </row>
        <row r="664">
          <cell r="A664">
            <v>661</v>
          </cell>
          <cell r="C664">
            <v>3706020131</v>
          </cell>
          <cell r="D664" t="str">
            <v>牟平42局の机架-7</v>
          </cell>
        </row>
        <row r="665">
          <cell r="A665">
            <v>662</v>
          </cell>
          <cell r="C665">
            <v>3706020132</v>
          </cell>
          <cell r="D665" t="str">
            <v>牟平42局の机架-8</v>
          </cell>
        </row>
        <row r="666">
          <cell r="A666">
            <v>663</v>
          </cell>
          <cell r="C666">
            <v>3706020133</v>
          </cell>
          <cell r="D666" t="str">
            <v>牟平42局の机架-9</v>
          </cell>
        </row>
        <row r="667">
          <cell r="A667">
            <v>664</v>
          </cell>
          <cell r="C667">
            <v>3707001111</v>
          </cell>
          <cell r="D667" t="str">
            <v>潍坊河西局の机架-1</v>
          </cell>
        </row>
        <row r="668">
          <cell r="A668">
            <v>665</v>
          </cell>
          <cell r="C668">
            <v>3707001112</v>
          </cell>
          <cell r="D668" t="str">
            <v>潍坊河西局の机架-2</v>
          </cell>
        </row>
        <row r="669">
          <cell r="A669">
            <v>666</v>
          </cell>
          <cell r="C669">
            <v>3707001113</v>
          </cell>
          <cell r="D669" t="str">
            <v>潍坊河西局の机架-3</v>
          </cell>
        </row>
        <row r="670">
          <cell r="A670">
            <v>667</v>
          </cell>
          <cell r="C670">
            <v>3707001121</v>
          </cell>
          <cell r="D670" t="str">
            <v>潍坊河西局の机架-4</v>
          </cell>
        </row>
        <row r="671">
          <cell r="A671">
            <v>668</v>
          </cell>
          <cell r="C671">
            <v>3707001122</v>
          </cell>
          <cell r="D671" t="str">
            <v>潍坊河西局の机架-5</v>
          </cell>
        </row>
        <row r="672">
          <cell r="A672">
            <v>669</v>
          </cell>
          <cell r="C672">
            <v>3707001123</v>
          </cell>
          <cell r="D672" t="str">
            <v>潍坊河西局の机架-6</v>
          </cell>
        </row>
        <row r="673">
          <cell r="A673">
            <v>670</v>
          </cell>
          <cell r="C673">
            <v>3707001131</v>
          </cell>
          <cell r="D673" t="str">
            <v>潍坊河西局の机架-7</v>
          </cell>
        </row>
        <row r="674">
          <cell r="A674">
            <v>671</v>
          </cell>
          <cell r="C674">
            <v>3707001132</v>
          </cell>
          <cell r="D674" t="str">
            <v>潍坊河西局の机架-8</v>
          </cell>
        </row>
        <row r="675">
          <cell r="A675">
            <v>672</v>
          </cell>
          <cell r="C675">
            <v>3707001133</v>
          </cell>
          <cell r="D675" t="str">
            <v>潍坊河西局の机架-9</v>
          </cell>
        </row>
        <row r="676">
          <cell r="A676">
            <v>673</v>
          </cell>
          <cell r="C676">
            <v>3707001211</v>
          </cell>
          <cell r="D676" t="str">
            <v>潍坊河西局の机架-10</v>
          </cell>
        </row>
        <row r="677">
          <cell r="A677">
            <v>674</v>
          </cell>
          <cell r="C677">
            <v>3707001212</v>
          </cell>
          <cell r="D677" t="str">
            <v>潍坊河西局の机架-11</v>
          </cell>
        </row>
        <row r="678">
          <cell r="A678">
            <v>675</v>
          </cell>
          <cell r="C678">
            <v>3707001213</v>
          </cell>
          <cell r="D678" t="str">
            <v>潍坊河西局の机架-12</v>
          </cell>
        </row>
        <row r="679">
          <cell r="A679">
            <v>676</v>
          </cell>
          <cell r="C679">
            <v>3707001221</v>
          </cell>
          <cell r="D679" t="str">
            <v>潍坊河西局の机架-13</v>
          </cell>
        </row>
        <row r="680">
          <cell r="A680">
            <v>677</v>
          </cell>
          <cell r="C680">
            <v>3707001222</v>
          </cell>
          <cell r="D680" t="str">
            <v>潍坊河西局の机架-14</v>
          </cell>
        </row>
        <row r="681">
          <cell r="A681">
            <v>678</v>
          </cell>
          <cell r="C681">
            <v>3707001223</v>
          </cell>
          <cell r="D681" t="str">
            <v>潍坊河西局の机架-15</v>
          </cell>
        </row>
        <row r="682">
          <cell r="A682">
            <v>679</v>
          </cell>
          <cell r="C682">
            <v>3707001231</v>
          </cell>
          <cell r="D682" t="str">
            <v>潍坊河西局の机架-16</v>
          </cell>
        </row>
        <row r="683">
          <cell r="A683">
            <v>680</v>
          </cell>
          <cell r="C683">
            <v>3707001232</v>
          </cell>
          <cell r="D683" t="str">
            <v>潍坊河西局の机架-17</v>
          </cell>
        </row>
        <row r="684">
          <cell r="A684">
            <v>681</v>
          </cell>
          <cell r="C684">
            <v>3707001233</v>
          </cell>
          <cell r="D684" t="str">
            <v>潍坊河西局の机架-18</v>
          </cell>
        </row>
        <row r="685">
          <cell r="A685">
            <v>682</v>
          </cell>
          <cell r="C685">
            <v>3707002111</v>
          </cell>
          <cell r="D685" t="str">
            <v>潍坊四平路の机架-1</v>
          </cell>
        </row>
        <row r="686">
          <cell r="A686">
            <v>683</v>
          </cell>
          <cell r="C686">
            <v>3707002112</v>
          </cell>
          <cell r="D686" t="str">
            <v>潍坊四平路の机架-2</v>
          </cell>
        </row>
        <row r="687">
          <cell r="A687">
            <v>684</v>
          </cell>
          <cell r="C687">
            <v>3707002113</v>
          </cell>
          <cell r="D687" t="str">
            <v>潍坊四平路の机架-3</v>
          </cell>
        </row>
        <row r="688">
          <cell r="A688">
            <v>685</v>
          </cell>
          <cell r="C688">
            <v>3707002121</v>
          </cell>
          <cell r="D688" t="str">
            <v>潍坊四平路の机架-4</v>
          </cell>
        </row>
        <row r="689">
          <cell r="A689">
            <v>686</v>
          </cell>
          <cell r="C689">
            <v>3707002122</v>
          </cell>
          <cell r="D689" t="str">
            <v>潍坊四平路の机架-5</v>
          </cell>
        </row>
        <row r="690">
          <cell r="A690">
            <v>687</v>
          </cell>
          <cell r="C690">
            <v>3707002123</v>
          </cell>
          <cell r="D690" t="str">
            <v>潍坊四平路の机架-6</v>
          </cell>
        </row>
        <row r="691">
          <cell r="A691">
            <v>688</v>
          </cell>
          <cell r="C691">
            <v>3707002131</v>
          </cell>
          <cell r="D691" t="str">
            <v>潍坊四平路の机架-7</v>
          </cell>
        </row>
        <row r="692">
          <cell r="A692">
            <v>689</v>
          </cell>
          <cell r="C692">
            <v>3707002132</v>
          </cell>
          <cell r="D692" t="str">
            <v>潍坊四平路の机架-8</v>
          </cell>
        </row>
        <row r="693">
          <cell r="A693">
            <v>690</v>
          </cell>
          <cell r="C693">
            <v>3707002133</v>
          </cell>
          <cell r="D693" t="str">
            <v>潍坊四平路の机架-9</v>
          </cell>
        </row>
        <row r="694">
          <cell r="A694">
            <v>691</v>
          </cell>
          <cell r="C694">
            <v>3707003111</v>
          </cell>
          <cell r="D694" t="str">
            <v>潍坊东方路の机架-1</v>
          </cell>
        </row>
        <row r="695">
          <cell r="A695">
            <v>692</v>
          </cell>
          <cell r="C695">
            <v>3707003112</v>
          </cell>
          <cell r="D695" t="str">
            <v>潍坊东方路の机架-2</v>
          </cell>
        </row>
        <row r="696">
          <cell r="A696">
            <v>693</v>
          </cell>
          <cell r="C696">
            <v>3707003113</v>
          </cell>
          <cell r="D696" t="str">
            <v>潍坊东方路の机架-3</v>
          </cell>
        </row>
        <row r="697">
          <cell r="A697">
            <v>694</v>
          </cell>
          <cell r="C697">
            <v>3707003121</v>
          </cell>
          <cell r="D697" t="str">
            <v>潍坊东方路の机架-4</v>
          </cell>
        </row>
        <row r="698">
          <cell r="A698">
            <v>695</v>
          </cell>
          <cell r="C698">
            <v>3707003122</v>
          </cell>
          <cell r="D698" t="str">
            <v>潍坊东方路の机架-5</v>
          </cell>
        </row>
        <row r="699">
          <cell r="A699">
            <v>696</v>
          </cell>
          <cell r="C699">
            <v>3707003123</v>
          </cell>
          <cell r="D699" t="str">
            <v>潍坊东方路の机架-6</v>
          </cell>
        </row>
        <row r="700">
          <cell r="A700">
            <v>697</v>
          </cell>
          <cell r="C700">
            <v>3707003131</v>
          </cell>
          <cell r="D700" t="str">
            <v>潍坊东方路の机架-7</v>
          </cell>
        </row>
        <row r="701">
          <cell r="A701">
            <v>698</v>
          </cell>
          <cell r="C701">
            <v>3707003132</v>
          </cell>
          <cell r="D701" t="str">
            <v>潍坊东方路の机架-8</v>
          </cell>
        </row>
        <row r="702">
          <cell r="A702">
            <v>699</v>
          </cell>
          <cell r="C702">
            <v>3707003133</v>
          </cell>
          <cell r="D702" t="str">
            <v>潍坊东方路の机架-9</v>
          </cell>
        </row>
        <row r="703">
          <cell r="A703">
            <v>700</v>
          </cell>
          <cell r="C703">
            <v>3707004111</v>
          </cell>
          <cell r="D703" t="str">
            <v>寿光营里の机架-1</v>
          </cell>
        </row>
        <row r="704">
          <cell r="A704">
            <v>701</v>
          </cell>
          <cell r="C704">
            <v>3707004112</v>
          </cell>
          <cell r="D704" t="str">
            <v>寿光营里の机架-2</v>
          </cell>
        </row>
        <row r="705">
          <cell r="A705">
            <v>702</v>
          </cell>
          <cell r="C705">
            <v>3707004113</v>
          </cell>
          <cell r="D705" t="str">
            <v>寿光营里の机架-3</v>
          </cell>
        </row>
        <row r="706">
          <cell r="A706">
            <v>703</v>
          </cell>
          <cell r="C706">
            <v>3707004121</v>
          </cell>
          <cell r="D706" t="str">
            <v>寿光营里の机架-4</v>
          </cell>
        </row>
        <row r="707">
          <cell r="A707">
            <v>704</v>
          </cell>
          <cell r="C707">
            <v>3707004122</v>
          </cell>
          <cell r="D707" t="str">
            <v>寿光营里の机架-5</v>
          </cell>
        </row>
        <row r="708">
          <cell r="A708">
            <v>705</v>
          </cell>
          <cell r="C708">
            <v>3707004123</v>
          </cell>
          <cell r="D708" t="str">
            <v>寿光营里の机架-6</v>
          </cell>
        </row>
        <row r="709">
          <cell r="A709">
            <v>706</v>
          </cell>
          <cell r="C709">
            <v>3707004131</v>
          </cell>
          <cell r="D709" t="str">
            <v>寿光营里の机架-7</v>
          </cell>
        </row>
        <row r="710">
          <cell r="A710">
            <v>707</v>
          </cell>
          <cell r="C710">
            <v>3707004132</v>
          </cell>
          <cell r="D710" t="str">
            <v>寿光营里の机架-8</v>
          </cell>
        </row>
        <row r="711">
          <cell r="A711">
            <v>708</v>
          </cell>
          <cell r="C711">
            <v>3707004133</v>
          </cell>
          <cell r="D711" t="str">
            <v>寿光营里の机架-9</v>
          </cell>
        </row>
        <row r="712">
          <cell r="A712">
            <v>709</v>
          </cell>
          <cell r="C712">
            <v>3707005111</v>
          </cell>
          <cell r="D712" t="str">
            <v>寿光东局の机架-1</v>
          </cell>
        </row>
        <row r="713">
          <cell r="A713">
            <v>710</v>
          </cell>
          <cell r="C713">
            <v>3707005112</v>
          </cell>
          <cell r="D713" t="str">
            <v>寿光东局の机架-2</v>
          </cell>
        </row>
        <row r="714">
          <cell r="A714">
            <v>711</v>
          </cell>
          <cell r="C714">
            <v>3707005113</v>
          </cell>
          <cell r="D714" t="str">
            <v>寿光东局の机架-3</v>
          </cell>
        </row>
        <row r="715">
          <cell r="A715">
            <v>712</v>
          </cell>
          <cell r="C715">
            <v>3707005121</v>
          </cell>
          <cell r="D715" t="str">
            <v>寿光东局の机架-4</v>
          </cell>
        </row>
        <row r="716">
          <cell r="A716">
            <v>713</v>
          </cell>
          <cell r="C716">
            <v>3707005122</v>
          </cell>
          <cell r="D716" t="str">
            <v>寿光东局の机架-5</v>
          </cell>
        </row>
        <row r="717">
          <cell r="A717">
            <v>714</v>
          </cell>
          <cell r="C717">
            <v>3707005123</v>
          </cell>
          <cell r="D717" t="str">
            <v>寿光东局の机架-6</v>
          </cell>
        </row>
        <row r="718">
          <cell r="A718">
            <v>715</v>
          </cell>
          <cell r="C718">
            <v>3707005131</v>
          </cell>
          <cell r="D718" t="str">
            <v>寿光东局の机架-7</v>
          </cell>
        </row>
        <row r="719">
          <cell r="A719">
            <v>716</v>
          </cell>
          <cell r="C719">
            <v>3707005132</v>
          </cell>
          <cell r="D719" t="str">
            <v>寿光东局の机架-8</v>
          </cell>
        </row>
        <row r="720">
          <cell r="A720">
            <v>717</v>
          </cell>
          <cell r="C720">
            <v>3707005133</v>
          </cell>
          <cell r="D720" t="str">
            <v>寿光东局の机架-9</v>
          </cell>
        </row>
        <row r="721">
          <cell r="A721">
            <v>718</v>
          </cell>
          <cell r="C721">
            <v>3707006111</v>
          </cell>
          <cell r="D721" t="str">
            <v>昌邑青乡の机架-1</v>
          </cell>
        </row>
        <row r="722">
          <cell r="A722">
            <v>719</v>
          </cell>
          <cell r="C722">
            <v>3707006112</v>
          </cell>
          <cell r="D722" t="str">
            <v>昌邑青乡の机架-2</v>
          </cell>
        </row>
        <row r="723">
          <cell r="A723">
            <v>720</v>
          </cell>
          <cell r="C723">
            <v>3707006113</v>
          </cell>
          <cell r="D723" t="str">
            <v>昌邑青乡の机架-3</v>
          </cell>
        </row>
        <row r="724">
          <cell r="A724">
            <v>721</v>
          </cell>
          <cell r="C724">
            <v>3707006121</v>
          </cell>
          <cell r="D724" t="str">
            <v>昌邑青乡の机架-4</v>
          </cell>
        </row>
        <row r="725">
          <cell r="A725">
            <v>722</v>
          </cell>
          <cell r="C725">
            <v>3707006122</v>
          </cell>
          <cell r="D725" t="str">
            <v>昌邑青乡の机架-5</v>
          </cell>
        </row>
        <row r="726">
          <cell r="A726">
            <v>723</v>
          </cell>
          <cell r="C726">
            <v>3707006123</v>
          </cell>
          <cell r="D726" t="str">
            <v>昌邑青乡の机架-6</v>
          </cell>
        </row>
        <row r="727">
          <cell r="A727">
            <v>724</v>
          </cell>
          <cell r="C727">
            <v>3707006131</v>
          </cell>
          <cell r="D727" t="str">
            <v>昌邑青乡の机架-7</v>
          </cell>
        </row>
        <row r="728">
          <cell r="A728">
            <v>725</v>
          </cell>
          <cell r="C728">
            <v>3707006132</v>
          </cell>
          <cell r="D728" t="str">
            <v>昌邑青乡の机架-8</v>
          </cell>
        </row>
        <row r="729">
          <cell r="A729">
            <v>726</v>
          </cell>
          <cell r="C729">
            <v>3707006133</v>
          </cell>
          <cell r="D729" t="str">
            <v>昌邑青乡の机架-9</v>
          </cell>
        </row>
        <row r="730">
          <cell r="A730">
            <v>727</v>
          </cell>
          <cell r="C730">
            <v>3707007111</v>
          </cell>
          <cell r="D730" t="str">
            <v>昌邑の机架-1</v>
          </cell>
        </row>
        <row r="731">
          <cell r="A731">
            <v>728</v>
          </cell>
          <cell r="C731">
            <v>3707007112</v>
          </cell>
          <cell r="D731" t="str">
            <v>昌邑の机架-2</v>
          </cell>
        </row>
        <row r="732">
          <cell r="A732">
            <v>729</v>
          </cell>
          <cell r="C732">
            <v>3707007113</v>
          </cell>
          <cell r="D732" t="str">
            <v>昌邑の机架-3</v>
          </cell>
        </row>
        <row r="733">
          <cell r="A733">
            <v>730</v>
          </cell>
          <cell r="C733">
            <v>3707007121</v>
          </cell>
          <cell r="D733" t="str">
            <v>昌邑の机架-4</v>
          </cell>
        </row>
        <row r="734">
          <cell r="A734">
            <v>731</v>
          </cell>
          <cell r="C734">
            <v>3707007122</v>
          </cell>
          <cell r="D734" t="str">
            <v>昌邑の机架-5</v>
          </cell>
        </row>
        <row r="735">
          <cell r="A735">
            <v>732</v>
          </cell>
          <cell r="C735">
            <v>3707007123</v>
          </cell>
          <cell r="D735" t="str">
            <v>昌邑の机架-6</v>
          </cell>
        </row>
        <row r="736">
          <cell r="A736">
            <v>733</v>
          </cell>
          <cell r="C736">
            <v>3707007131</v>
          </cell>
          <cell r="D736" t="str">
            <v>昌邑の机架-7</v>
          </cell>
        </row>
        <row r="737">
          <cell r="A737">
            <v>734</v>
          </cell>
          <cell r="C737">
            <v>3707007132</v>
          </cell>
          <cell r="D737" t="str">
            <v>昌邑の机架-8</v>
          </cell>
        </row>
        <row r="738">
          <cell r="A738">
            <v>735</v>
          </cell>
          <cell r="C738">
            <v>3707007133</v>
          </cell>
          <cell r="D738" t="str">
            <v>昌邑の机架-9</v>
          </cell>
        </row>
        <row r="739">
          <cell r="A739">
            <v>736</v>
          </cell>
          <cell r="C739">
            <v>3707008111</v>
          </cell>
          <cell r="D739" t="str">
            <v>昌邑饮马の机架-1</v>
          </cell>
        </row>
        <row r="740">
          <cell r="A740">
            <v>737</v>
          </cell>
          <cell r="C740">
            <v>3707008112</v>
          </cell>
          <cell r="D740" t="str">
            <v>昌邑饮马の机架-2</v>
          </cell>
        </row>
        <row r="741">
          <cell r="A741">
            <v>738</v>
          </cell>
          <cell r="C741">
            <v>3707008113</v>
          </cell>
          <cell r="D741" t="str">
            <v>昌邑饮马の机架-3</v>
          </cell>
        </row>
        <row r="742">
          <cell r="A742">
            <v>739</v>
          </cell>
          <cell r="C742">
            <v>3707008121</v>
          </cell>
          <cell r="D742" t="str">
            <v>昌邑饮马の机架-4</v>
          </cell>
        </row>
        <row r="743">
          <cell r="A743">
            <v>740</v>
          </cell>
          <cell r="C743">
            <v>3707008122</v>
          </cell>
          <cell r="D743" t="str">
            <v>昌邑饮马の机架-5</v>
          </cell>
        </row>
        <row r="744">
          <cell r="A744">
            <v>741</v>
          </cell>
          <cell r="C744">
            <v>3707008123</v>
          </cell>
          <cell r="D744" t="str">
            <v>昌邑饮马の机架-6</v>
          </cell>
        </row>
        <row r="745">
          <cell r="A745">
            <v>742</v>
          </cell>
          <cell r="C745">
            <v>3707008131</v>
          </cell>
          <cell r="D745" t="str">
            <v>昌邑饮马の机架-7</v>
          </cell>
        </row>
        <row r="746">
          <cell r="A746">
            <v>743</v>
          </cell>
          <cell r="C746">
            <v>3707008132</v>
          </cell>
          <cell r="D746" t="str">
            <v>昌邑饮马の机架-8</v>
          </cell>
        </row>
        <row r="747">
          <cell r="A747">
            <v>744</v>
          </cell>
          <cell r="C747">
            <v>3707008133</v>
          </cell>
          <cell r="D747" t="str">
            <v>昌邑饮马の机架-9</v>
          </cell>
        </row>
        <row r="748">
          <cell r="A748">
            <v>745</v>
          </cell>
          <cell r="C748">
            <v>3707009111</v>
          </cell>
          <cell r="D748" t="str">
            <v>青州高柳の机架-1</v>
          </cell>
        </row>
        <row r="749">
          <cell r="A749">
            <v>746</v>
          </cell>
          <cell r="C749">
            <v>3707009112</v>
          </cell>
          <cell r="D749" t="str">
            <v>青州高柳の机架-2</v>
          </cell>
        </row>
        <row r="750">
          <cell r="A750">
            <v>747</v>
          </cell>
          <cell r="C750">
            <v>3707009113</v>
          </cell>
          <cell r="D750" t="str">
            <v>青州高柳の机架-3</v>
          </cell>
        </row>
        <row r="751">
          <cell r="A751">
            <v>748</v>
          </cell>
          <cell r="C751">
            <v>3707009121</v>
          </cell>
          <cell r="D751" t="str">
            <v>青州高柳の机架-4</v>
          </cell>
        </row>
        <row r="752">
          <cell r="A752">
            <v>749</v>
          </cell>
          <cell r="C752">
            <v>3707009122</v>
          </cell>
          <cell r="D752" t="str">
            <v>青州高柳の机架-5</v>
          </cell>
        </row>
        <row r="753">
          <cell r="A753">
            <v>750</v>
          </cell>
          <cell r="C753">
            <v>3707009123</v>
          </cell>
          <cell r="D753" t="str">
            <v>青州高柳の机架-6</v>
          </cell>
        </row>
        <row r="754">
          <cell r="A754">
            <v>751</v>
          </cell>
          <cell r="C754">
            <v>3707009131</v>
          </cell>
          <cell r="D754" t="str">
            <v>青州高柳の机架-7</v>
          </cell>
        </row>
        <row r="755">
          <cell r="A755">
            <v>752</v>
          </cell>
          <cell r="C755">
            <v>3707009132</v>
          </cell>
          <cell r="D755" t="str">
            <v>青州高柳の机架-8</v>
          </cell>
        </row>
        <row r="756">
          <cell r="A756">
            <v>753</v>
          </cell>
          <cell r="C756">
            <v>3707009133</v>
          </cell>
          <cell r="D756" t="str">
            <v>青州高柳の机架-9</v>
          </cell>
        </row>
        <row r="757">
          <cell r="A757">
            <v>754</v>
          </cell>
          <cell r="C757">
            <v>3707010111</v>
          </cell>
          <cell r="D757" t="str">
            <v>昌乐南局の机架-1</v>
          </cell>
        </row>
        <row r="758">
          <cell r="A758">
            <v>755</v>
          </cell>
          <cell r="C758">
            <v>3707010112</v>
          </cell>
          <cell r="D758" t="str">
            <v>昌乐南局の机架-2</v>
          </cell>
        </row>
        <row r="759">
          <cell r="A759">
            <v>756</v>
          </cell>
          <cell r="C759">
            <v>3707010113</v>
          </cell>
          <cell r="D759" t="str">
            <v>昌乐南局の机架-3</v>
          </cell>
        </row>
        <row r="760">
          <cell r="A760">
            <v>757</v>
          </cell>
          <cell r="C760">
            <v>3707010121</v>
          </cell>
          <cell r="D760" t="str">
            <v>昌乐南局の机架-4</v>
          </cell>
        </row>
        <row r="761">
          <cell r="A761">
            <v>758</v>
          </cell>
          <cell r="C761">
            <v>3707010122</v>
          </cell>
          <cell r="D761" t="str">
            <v>昌乐南局の机架-5</v>
          </cell>
        </row>
        <row r="762">
          <cell r="A762">
            <v>759</v>
          </cell>
          <cell r="C762">
            <v>3707010123</v>
          </cell>
          <cell r="D762" t="str">
            <v>昌乐南局の机架-6</v>
          </cell>
        </row>
        <row r="763">
          <cell r="A763">
            <v>760</v>
          </cell>
          <cell r="C763">
            <v>3707010131</v>
          </cell>
          <cell r="D763" t="str">
            <v>昌乐南局の机架-7</v>
          </cell>
        </row>
        <row r="764">
          <cell r="A764">
            <v>761</v>
          </cell>
          <cell r="C764">
            <v>3707010132</v>
          </cell>
          <cell r="D764" t="str">
            <v>昌乐南局の机架-8</v>
          </cell>
        </row>
        <row r="765">
          <cell r="A765">
            <v>762</v>
          </cell>
          <cell r="C765">
            <v>3707010133</v>
          </cell>
          <cell r="D765" t="str">
            <v>昌乐南局の机架-9</v>
          </cell>
        </row>
        <row r="766">
          <cell r="A766">
            <v>763</v>
          </cell>
          <cell r="C766">
            <v>3707011111</v>
          </cell>
          <cell r="D766" t="str">
            <v>昌乐北局の机架-1</v>
          </cell>
        </row>
        <row r="767">
          <cell r="A767">
            <v>764</v>
          </cell>
          <cell r="C767">
            <v>3707011112</v>
          </cell>
          <cell r="D767" t="str">
            <v>昌乐北局の机架-2</v>
          </cell>
        </row>
        <row r="768">
          <cell r="A768">
            <v>765</v>
          </cell>
          <cell r="C768">
            <v>3707011113</v>
          </cell>
          <cell r="D768" t="str">
            <v>昌乐北局の机架-3</v>
          </cell>
        </row>
        <row r="769">
          <cell r="A769">
            <v>766</v>
          </cell>
          <cell r="C769">
            <v>3707011121</v>
          </cell>
          <cell r="D769" t="str">
            <v>昌乐北局の机架-4</v>
          </cell>
        </row>
        <row r="770">
          <cell r="A770">
            <v>767</v>
          </cell>
          <cell r="C770">
            <v>3707011122</v>
          </cell>
          <cell r="D770" t="str">
            <v>昌乐北局の机架-5</v>
          </cell>
        </row>
        <row r="771">
          <cell r="A771">
            <v>768</v>
          </cell>
          <cell r="C771">
            <v>3707011123</v>
          </cell>
          <cell r="D771" t="str">
            <v>昌乐北局の机架-6</v>
          </cell>
        </row>
        <row r="772">
          <cell r="A772">
            <v>769</v>
          </cell>
          <cell r="C772">
            <v>3707011131</v>
          </cell>
          <cell r="D772" t="str">
            <v>昌乐北局の机架-7</v>
          </cell>
        </row>
        <row r="773">
          <cell r="A773">
            <v>770</v>
          </cell>
          <cell r="C773">
            <v>3707011132</v>
          </cell>
          <cell r="D773" t="str">
            <v>昌乐北局の机架-8</v>
          </cell>
        </row>
        <row r="774">
          <cell r="A774">
            <v>771</v>
          </cell>
          <cell r="C774">
            <v>3707011133</v>
          </cell>
          <cell r="D774" t="str">
            <v>昌乐北局の机架-9</v>
          </cell>
        </row>
        <row r="775">
          <cell r="A775">
            <v>772</v>
          </cell>
          <cell r="C775">
            <v>3707012111</v>
          </cell>
          <cell r="D775" t="str">
            <v>高密の机架-1</v>
          </cell>
        </row>
        <row r="776">
          <cell r="A776">
            <v>773</v>
          </cell>
          <cell r="C776">
            <v>3707012112</v>
          </cell>
          <cell r="D776" t="str">
            <v>高密の机架-2</v>
          </cell>
        </row>
        <row r="777">
          <cell r="A777">
            <v>774</v>
          </cell>
          <cell r="C777">
            <v>3707012113</v>
          </cell>
          <cell r="D777" t="str">
            <v>高密の机架-3</v>
          </cell>
        </row>
        <row r="778">
          <cell r="A778">
            <v>775</v>
          </cell>
          <cell r="C778">
            <v>3707012121</v>
          </cell>
          <cell r="D778" t="str">
            <v>高密の机架-4</v>
          </cell>
        </row>
        <row r="779">
          <cell r="A779">
            <v>776</v>
          </cell>
          <cell r="C779">
            <v>3707012122</v>
          </cell>
          <cell r="D779" t="str">
            <v>高密の机架-5</v>
          </cell>
        </row>
        <row r="780">
          <cell r="A780">
            <v>777</v>
          </cell>
          <cell r="C780">
            <v>3707012123</v>
          </cell>
          <cell r="D780" t="str">
            <v>高密の机架-6</v>
          </cell>
        </row>
        <row r="781">
          <cell r="A781">
            <v>778</v>
          </cell>
          <cell r="C781">
            <v>3707012131</v>
          </cell>
          <cell r="D781" t="str">
            <v>高密の机架-7</v>
          </cell>
        </row>
        <row r="782">
          <cell r="A782">
            <v>779</v>
          </cell>
          <cell r="C782">
            <v>3707012132</v>
          </cell>
          <cell r="D782" t="str">
            <v>高密の机架-8</v>
          </cell>
        </row>
        <row r="783">
          <cell r="A783">
            <v>780</v>
          </cell>
          <cell r="C783">
            <v>3707012133</v>
          </cell>
          <cell r="D783" t="str">
            <v>高密の机架-9</v>
          </cell>
        </row>
        <row r="784">
          <cell r="A784">
            <v>781</v>
          </cell>
          <cell r="C784">
            <v>3707013111</v>
          </cell>
          <cell r="D784" t="str">
            <v>高密火车站の机架-1</v>
          </cell>
        </row>
        <row r="785">
          <cell r="A785">
            <v>782</v>
          </cell>
          <cell r="C785">
            <v>3707013112</v>
          </cell>
          <cell r="D785" t="str">
            <v>高密火车站の机架-2</v>
          </cell>
        </row>
        <row r="786">
          <cell r="A786">
            <v>783</v>
          </cell>
          <cell r="C786">
            <v>3707013113</v>
          </cell>
          <cell r="D786" t="str">
            <v>高密火车站の机架-3</v>
          </cell>
        </row>
        <row r="787">
          <cell r="A787">
            <v>784</v>
          </cell>
          <cell r="C787">
            <v>3707013121</v>
          </cell>
          <cell r="D787" t="str">
            <v>高密火车站の机架-4</v>
          </cell>
        </row>
        <row r="788">
          <cell r="A788">
            <v>785</v>
          </cell>
          <cell r="C788">
            <v>3707013122</v>
          </cell>
          <cell r="D788" t="str">
            <v>高密火车站の机架-5</v>
          </cell>
        </row>
        <row r="789">
          <cell r="A789">
            <v>786</v>
          </cell>
          <cell r="C789">
            <v>3707013123</v>
          </cell>
          <cell r="D789" t="str">
            <v>高密火车站の机架-6</v>
          </cell>
        </row>
        <row r="790">
          <cell r="A790">
            <v>787</v>
          </cell>
          <cell r="C790">
            <v>3707013131</v>
          </cell>
          <cell r="D790" t="str">
            <v>高密火车站の机架-7</v>
          </cell>
        </row>
        <row r="791">
          <cell r="A791">
            <v>788</v>
          </cell>
          <cell r="C791">
            <v>3707013132</v>
          </cell>
          <cell r="D791" t="str">
            <v>高密火车站の机架-8</v>
          </cell>
        </row>
        <row r="792">
          <cell r="A792">
            <v>789</v>
          </cell>
          <cell r="C792">
            <v>3707013133</v>
          </cell>
          <cell r="D792" t="str">
            <v>高密火车站の机架-9</v>
          </cell>
        </row>
        <row r="793">
          <cell r="A793">
            <v>790</v>
          </cell>
          <cell r="C793">
            <v>3707014111</v>
          </cell>
          <cell r="D793" t="str">
            <v>诸城の机架-1</v>
          </cell>
        </row>
        <row r="794">
          <cell r="A794">
            <v>791</v>
          </cell>
          <cell r="C794">
            <v>3707014112</v>
          </cell>
          <cell r="D794" t="str">
            <v>诸城の机架-2</v>
          </cell>
        </row>
        <row r="795">
          <cell r="A795">
            <v>792</v>
          </cell>
          <cell r="C795">
            <v>3707014113</v>
          </cell>
          <cell r="D795" t="str">
            <v>诸城の机架-3</v>
          </cell>
        </row>
        <row r="796">
          <cell r="A796">
            <v>793</v>
          </cell>
          <cell r="C796">
            <v>3707014121</v>
          </cell>
          <cell r="D796" t="str">
            <v>诸城の机架-4</v>
          </cell>
        </row>
        <row r="797">
          <cell r="A797">
            <v>794</v>
          </cell>
          <cell r="C797">
            <v>3707014122</v>
          </cell>
          <cell r="D797" t="str">
            <v>诸城の机架-5</v>
          </cell>
        </row>
        <row r="798">
          <cell r="A798">
            <v>795</v>
          </cell>
          <cell r="C798">
            <v>3707014123</v>
          </cell>
          <cell r="D798" t="str">
            <v>诸城の机架-6</v>
          </cell>
        </row>
        <row r="799">
          <cell r="A799">
            <v>796</v>
          </cell>
          <cell r="C799">
            <v>3707014131</v>
          </cell>
          <cell r="D799" t="str">
            <v>诸城の机架-7</v>
          </cell>
        </row>
        <row r="800">
          <cell r="A800">
            <v>797</v>
          </cell>
          <cell r="C800">
            <v>3707014132</v>
          </cell>
          <cell r="D800" t="str">
            <v>诸城の机架-8</v>
          </cell>
        </row>
        <row r="801">
          <cell r="A801">
            <v>798</v>
          </cell>
          <cell r="C801">
            <v>3707014133</v>
          </cell>
          <cell r="D801" t="str">
            <v>诸城の机架-9</v>
          </cell>
        </row>
        <row r="802">
          <cell r="A802">
            <v>799</v>
          </cell>
          <cell r="C802">
            <v>3707015111</v>
          </cell>
          <cell r="D802" t="str">
            <v>诸城原联通高级技工学校の机架-1</v>
          </cell>
        </row>
        <row r="803">
          <cell r="A803">
            <v>800</v>
          </cell>
          <cell r="C803">
            <v>3707015112</v>
          </cell>
          <cell r="D803" t="str">
            <v>诸城原联通高级技工学校の机架-2</v>
          </cell>
        </row>
        <row r="804">
          <cell r="A804">
            <v>801</v>
          </cell>
          <cell r="C804">
            <v>3707015113</v>
          </cell>
          <cell r="D804" t="str">
            <v>诸城原联通高级技工学校の机架-3</v>
          </cell>
        </row>
        <row r="805">
          <cell r="A805">
            <v>802</v>
          </cell>
          <cell r="C805">
            <v>3707015121</v>
          </cell>
          <cell r="D805" t="str">
            <v>诸城原联通高级技工学校の机架-4</v>
          </cell>
        </row>
        <row r="806">
          <cell r="A806">
            <v>803</v>
          </cell>
          <cell r="C806">
            <v>3707015122</v>
          </cell>
          <cell r="D806" t="str">
            <v>诸城原联通高级技工学校の机架-5</v>
          </cell>
        </row>
        <row r="807">
          <cell r="A807">
            <v>804</v>
          </cell>
          <cell r="C807">
            <v>3707015123</v>
          </cell>
          <cell r="D807" t="str">
            <v>诸城原联通高级技工学校の机架-6</v>
          </cell>
        </row>
        <row r="808">
          <cell r="A808">
            <v>805</v>
          </cell>
          <cell r="C808">
            <v>3707015131</v>
          </cell>
          <cell r="D808" t="str">
            <v>诸城原联通高级技工学校の机架-7</v>
          </cell>
        </row>
        <row r="809">
          <cell r="A809">
            <v>806</v>
          </cell>
          <cell r="C809">
            <v>3707015132</v>
          </cell>
          <cell r="D809" t="str">
            <v>诸城原联通高级技工学校の机架-8</v>
          </cell>
        </row>
        <row r="810">
          <cell r="A810">
            <v>807</v>
          </cell>
          <cell r="C810">
            <v>3707015133</v>
          </cell>
          <cell r="D810" t="str">
            <v>诸城原联通高级技工学校の机架-9</v>
          </cell>
        </row>
        <row r="811">
          <cell r="A811">
            <v>808</v>
          </cell>
          <cell r="C811">
            <v>3707016111</v>
          </cell>
          <cell r="D811" t="str">
            <v>安丘兴安路の机架-1</v>
          </cell>
        </row>
        <row r="812">
          <cell r="A812">
            <v>809</v>
          </cell>
          <cell r="C812">
            <v>3707016112</v>
          </cell>
          <cell r="D812" t="str">
            <v>安丘兴安路の机架-2</v>
          </cell>
        </row>
        <row r="813">
          <cell r="A813">
            <v>810</v>
          </cell>
          <cell r="C813">
            <v>3707016113</v>
          </cell>
          <cell r="D813" t="str">
            <v>安丘兴安路の机架-3</v>
          </cell>
        </row>
        <row r="814">
          <cell r="A814">
            <v>811</v>
          </cell>
          <cell r="C814">
            <v>3707016121</v>
          </cell>
          <cell r="D814" t="str">
            <v>安丘兴安路の机架-4</v>
          </cell>
        </row>
        <row r="815">
          <cell r="A815">
            <v>812</v>
          </cell>
          <cell r="C815">
            <v>3707016122</v>
          </cell>
          <cell r="D815" t="str">
            <v>安丘兴安路の机架-5</v>
          </cell>
        </row>
        <row r="816">
          <cell r="A816">
            <v>813</v>
          </cell>
          <cell r="C816">
            <v>3707016123</v>
          </cell>
          <cell r="D816" t="str">
            <v>安丘兴安路の机架-6</v>
          </cell>
        </row>
        <row r="817">
          <cell r="A817">
            <v>814</v>
          </cell>
          <cell r="C817">
            <v>3707016131</v>
          </cell>
          <cell r="D817" t="str">
            <v>安丘兴安路の机架-7</v>
          </cell>
        </row>
        <row r="818">
          <cell r="A818">
            <v>815</v>
          </cell>
          <cell r="C818">
            <v>3707016132</v>
          </cell>
          <cell r="D818" t="str">
            <v>安丘兴安路の机架-8</v>
          </cell>
        </row>
        <row r="819">
          <cell r="A819">
            <v>816</v>
          </cell>
          <cell r="C819">
            <v>3707016133</v>
          </cell>
          <cell r="D819" t="str">
            <v>安丘兴安路の机架-9</v>
          </cell>
        </row>
        <row r="820">
          <cell r="A820">
            <v>817</v>
          </cell>
          <cell r="C820">
            <v>3707017111</v>
          </cell>
          <cell r="D820" t="str">
            <v>安丘景芝の机架-1</v>
          </cell>
        </row>
        <row r="821">
          <cell r="A821">
            <v>818</v>
          </cell>
          <cell r="C821">
            <v>3707017112</v>
          </cell>
          <cell r="D821" t="str">
            <v>安丘景芝の机架-2</v>
          </cell>
        </row>
        <row r="822">
          <cell r="A822">
            <v>819</v>
          </cell>
          <cell r="C822">
            <v>3707017113</v>
          </cell>
          <cell r="D822" t="str">
            <v>安丘景芝の机架-3</v>
          </cell>
        </row>
        <row r="823">
          <cell r="A823">
            <v>820</v>
          </cell>
          <cell r="C823">
            <v>3707017121</v>
          </cell>
          <cell r="D823" t="str">
            <v>安丘景芝の机架-4</v>
          </cell>
        </row>
        <row r="824">
          <cell r="A824">
            <v>821</v>
          </cell>
          <cell r="C824">
            <v>3707017122</v>
          </cell>
          <cell r="D824" t="str">
            <v>安丘景芝の机架-5</v>
          </cell>
        </row>
        <row r="825">
          <cell r="A825">
            <v>822</v>
          </cell>
          <cell r="C825">
            <v>3707017123</v>
          </cell>
          <cell r="D825" t="str">
            <v>安丘景芝の机架-6</v>
          </cell>
        </row>
        <row r="826">
          <cell r="A826">
            <v>823</v>
          </cell>
          <cell r="C826">
            <v>3707017131</v>
          </cell>
          <cell r="D826" t="str">
            <v>安丘景芝の机架-7</v>
          </cell>
        </row>
        <row r="827">
          <cell r="A827">
            <v>824</v>
          </cell>
          <cell r="C827">
            <v>3707017132</v>
          </cell>
          <cell r="D827" t="str">
            <v>安丘景芝の机架-8</v>
          </cell>
        </row>
        <row r="828">
          <cell r="A828">
            <v>825</v>
          </cell>
          <cell r="C828">
            <v>3707017133</v>
          </cell>
          <cell r="D828" t="str">
            <v>安丘景芝の机架-9</v>
          </cell>
        </row>
        <row r="829">
          <cell r="A829">
            <v>826</v>
          </cell>
          <cell r="C829">
            <v>3707018111</v>
          </cell>
          <cell r="D829" t="str">
            <v>吾山南逯の机架-1</v>
          </cell>
        </row>
        <row r="830">
          <cell r="A830">
            <v>827</v>
          </cell>
          <cell r="C830">
            <v>3707018112</v>
          </cell>
          <cell r="D830" t="str">
            <v>吾山南逯の机架-2</v>
          </cell>
        </row>
        <row r="831">
          <cell r="A831">
            <v>828</v>
          </cell>
          <cell r="C831">
            <v>3707018113</v>
          </cell>
          <cell r="D831" t="str">
            <v>吾山南逯の机架-3</v>
          </cell>
        </row>
        <row r="832">
          <cell r="A832">
            <v>829</v>
          </cell>
          <cell r="C832">
            <v>3707018121</v>
          </cell>
          <cell r="D832" t="str">
            <v>吾山南逯の机架-4</v>
          </cell>
        </row>
        <row r="833">
          <cell r="A833">
            <v>830</v>
          </cell>
          <cell r="C833">
            <v>3707018122</v>
          </cell>
          <cell r="D833" t="str">
            <v>吾山南逯の机架-5</v>
          </cell>
        </row>
        <row r="834">
          <cell r="A834">
            <v>831</v>
          </cell>
          <cell r="C834">
            <v>3707018123</v>
          </cell>
          <cell r="D834" t="str">
            <v>吾山南逯の机架-6</v>
          </cell>
        </row>
        <row r="835">
          <cell r="A835">
            <v>832</v>
          </cell>
          <cell r="C835">
            <v>3707018131</v>
          </cell>
          <cell r="D835" t="str">
            <v>吾山南逯の机架-7</v>
          </cell>
        </row>
        <row r="836">
          <cell r="A836">
            <v>833</v>
          </cell>
          <cell r="C836">
            <v>3707018132</v>
          </cell>
          <cell r="D836" t="str">
            <v>吾山南逯の机架-8</v>
          </cell>
        </row>
        <row r="837">
          <cell r="A837">
            <v>834</v>
          </cell>
          <cell r="C837">
            <v>3707018133</v>
          </cell>
          <cell r="D837" t="str">
            <v>吾山南逯の机架-9</v>
          </cell>
        </row>
        <row r="838">
          <cell r="A838">
            <v>835</v>
          </cell>
          <cell r="C838">
            <v>3708001111</v>
          </cell>
          <cell r="D838" t="str">
            <v>济宁洸河路の机架-1</v>
          </cell>
        </row>
        <row r="839">
          <cell r="A839">
            <v>836</v>
          </cell>
          <cell r="C839">
            <v>3708001112</v>
          </cell>
          <cell r="D839" t="str">
            <v>济宁洸河路の机架-2</v>
          </cell>
        </row>
        <row r="840">
          <cell r="A840">
            <v>837</v>
          </cell>
          <cell r="C840">
            <v>3708001113</v>
          </cell>
          <cell r="D840" t="str">
            <v>济宁洸河路の机架-3</v>
          </cell>
        </row>
        <row r="841">
          <cell r="A841">
            <v>838</v>
          </cell>
          <cell r="C841">
            <v>3708001121</v>
          </cell>
          <cell r="D841" t="str">
            <v>济宁洸河路の机架-4</v>
          </cell>
        </row>
        <row r="842">
          <cell r="A842">
            <v>839</v>
          </cell>
          <cell r="C842">
            <v>3708001122</v>
          </cell>
          <cell r="D842" t="str">
            <v>济宁洸河路の机架-5</v>
          </cell>
        </row>
        <row r="843">
          <cell r="A843">
            <v>840</v>
          </cell>
          <cell r="C843">
            <v>3708001123</v>
          </cell>
          <cell r="D843" t="str">
            <v>济宁洸河路の机架-6</v>
          </cell>
        </row>
        <row r="844">
          <cell r="A844">
            <v>841</v>
          </cell>
          <cell r="C844">
            <v>3708001131</v>
          </cell>
          <cell r="D844" t="str">
            <v>济宁洸河路の机架-7</v>
          </cell>
        </row>
        <row r="845">
          <cell r="A845">
            <v>842</v>
          </cell>
          <cell r="C845">
            <v>3708001132</v>
          </cell>
          <cell r="D845" t="str">
            <v>济宁洸河路の机架-8</v>
          </cell>
        </row>
        <row r="846">
          <cell r="A846">
            <v>843</v>
          </cell>
          <cell r="C846">
            <v>3708001133</v>
          </cell>
          <cell r="D846" t="str">
            <v>济宁洸河路の机架-9</v>
          </cell>
        </row>
        <row r="847">
          <cell r="A847">
            <v>844</v>
          </cell>
          <cell r="C847">
            <v>3708001211</v>
          </cell>
          <cell r="D847" t="str">
            <v>济宁洸河路の机架-10</v>
          </cell>
        </row>
        <row r="848">
          <cell r="A848">
            <v>845</v>
          </cell>
          <cell r="C848">
            <v>3708001212</v>
          </cell>
          <cell r="D848" t="str">
            <v>济宁洸河路の机架-11</v>
          </cell>
        </row>
        <row r="849">
          <cell r="A849">
            <v>846</v>
          </cell>
          <cell r="C849">
            <v>3708001213</v>
          </cell>
          <cell r="D849" t="str">
            <v>济宁洸河路の机架-12</v>
          </cell>
        </row>
        <row r="850">
          <cell r="A850">
            <v>847</v>
          </cell>
          <cell r="C850">
            <v>3708001221</v>
          </cell>
          <cell r="D850" t="str">
            <v>济宁洸河路の机架-13</v>
          </cell>
        </row>
        <row r="851">
          <cell r="A851">
            <v>848</v>
          </cell>
          <cell r="C851">
            <v>3708001222</v>
          </cell>
          <cell r="D851" t="str">
            <v>济宁洸河路の机架-14</v>
          </cell>
        </row>
        <row r="852">
          <cell r="A852">
            <v>849</v>
          </cell>
          <cell r="C852">
            <v>3708001223</v>
          </cell>
          <cell r="D852" t="str">
            <v>济宁洸河路の机架-15</v>
          </cell>
        </row>
        <row r="853">
          <cell r="A853">
            <v>850</v>
          </cell>
          <cell r="C853">
            <v>3708001231</v>
          </cell>
          <cell r="D853" t="str">
            <v>济宁洸河路の机架-16</v>
          </cell>
        </row>
        <row r="854">
          <cell r="A854">
            <v>851</v>
          </cell>
          <cell r="C854">
            <v>3708001232</v>
          </cell>
          <cell r="D854" t="str">
            <v>济宁洸河路の机架-17</v>
          </cell>
        </row>
        <row r="855">
          <cell r="A855">
            <v>852</v>
          </cell>
          <cell r="C855">
            <v>3708001233</v>
          </cell>
          <cell r="D855" t="str">
            <v>济宁洸河路の机架-18</v>
          </cell>
        </row>
        <row r="856">
          <cell r="A856">
            <v>853</v>
          </cell>
          <cell r="C856">
            <v>3708002111</v>
          </cell>
          <cell r="D856" t="str">
            <v>济宁红星东路の机架-1</v>
          </cell>
        </row>
        <row r="857">
          <cell r="A857">
            <v>854</v>
          </cell>
          <cell r="C857">
            <v>3708002112</v>
          </cell>
          <cell r="D857" t="str">
            <v>济宁红星东路の机架-2</v>
          </cell>
        </row>
        <row r="858">
          <cell r="A858">
            <v>855</v>
          </cell>
          <cell r="C858">
            <v>3708002113</v>
          </cell>
          <cell r="D858" t="str">
            <v>济宁红星东路の机架-3</v>
          </cell>
        </row>
        <row r="859">
          <cell r="A859">
            <v>856</v>
          </cell>
          <cell r="C859">
            <v>3708002121</v>
          </cell>
          <cell r="D859" t="str">
            <v>济宁红星东路の机架-4</v>
          </cell>
        </row>
        <row r="860">
          <cell r="A860">
            <v>857</v>
          </cell>
          <cell r="C860">
            <v>3708002122</v>
          </cell>
          <cell r="D860" t="str">
            <v>济宁红星东路の机架-5</v>
          </cell>
        </row>
        <row r="861">
          <cell r="A861">
            <v>858</v>
          </cell>
          <cell r="C861">
            <v>3708002123</v>
          </cell>
          <cell r="D861" t="str">
            <v>济宁红星东路の机架-6</v>
          </cell>
        </row>
        <row r="862">
          <cell r="A862">
            <v>859</v>
          </cell>
          <cell r="C862">
            <v>3708002131</v>
          </cell>
          <cell r="D862" t="str">
            <v>济宁红星东路の机架-7</v>
          </cell>
        </row>
        <row r="863">
          <cell r="A863">
            <v>860</v>
          </cell>
          <cell r="C863">
            <v>3708002132</v>
          </cell>
          <cell r="D863" t="str">
            <v>济宁红星东路の机架-8</v>
          </cell>
        </row>
        <row r="864">
          <cell r="A864">
            <v>861</v>
          </cell>
          <cell r="C864">
            <v>3708002133</v>
          </cell>
          <cell r="D864" t="str">
            <v>济宁红星东路の机架-9</v>
          </cell>
        </row>
        <row r="865">
          <cell r="A865">
            <v>862</v>
          </cell>
          <cell r="C865">
            <v>3708003111</v>
          </cell>
          <cell r="D865" t="str">
            <v>兖州九仙桥路の机架-1</v>
          </cell>
        </row>
        <row r="866">
          <cell r="A866">
            <v>863</v>
          </cell>
          <cell r="C866">
            <v>3708003112</v>
          </cell>
          <cell r="D866" t="str">
            <v>兖州九仙桥路の机架-2</v>
          </cell>
        </row>
        <row r="867">
          <cell r="A867">
            <v>864</v>
          </cell>
          <cell r="C867">
            <v>3708003113</v>
          </cell>
          <cell r="D867" t="str">
            <v>兖州九仙桥路の机架-3</v>
          </cell>
        </row>
        <row r="868">
          <cell r="A868">
            <v>865</v>
          </cell>
          <cell r="C868">
            <v>3708003121</v>
          </cell>
          <cell r="D868" t="str">
            <v>兖州九仙桥路の机架-4</v>
          </cell>
        </row>
        <row r="869">
          <cell r="A869">
            <v>866</v>
          </cell>
          <cell r="C869">
            <v>3708003122</v>
          </cell>
          <cell r="D869" t="str">
            <v>兖州九仙桥路の机架-5</v>
          </cell>
        </row>
        <row r="870">
          <cell r="A870">
            <v>867</v>
          </cell>
          <cell r="C870">
            <v>3708003123</v>
          </cell>
          <cell r="D870" t="str">
            <v>兖州九仙桥路の机架-6</v>
          </cell>
        </row>
        <row r="871">
          <cell r="A871">
            <v>868</v>
          </cell>
          <cell r="C871">
            <v>3708003131</v>
          </cell>
          <cell r="D871" t="str">
            <v>兖州九仙桥路の机架-7</v>
          </cell>
        </row>
        <row r="872">
          <cell r="A872">
            <v>869</v>
          </cell>
          <cell r="C872">
            <v>3708003132</v>
          </cell>
          <cell r="D872" t="str">
            <v>兖州九仙桥路の机架-8</v>
          </cell>
        </row>
        <row r="873">
          <cell r="A873">
            <v>870</v>
          </cell>
          <cell r="C873">
            <v>3708003133</v>
          </cell>
          <cell r="D873" t="str">
            <v>兖州九仙桥路の机架-9</v>
          </cell>
        </row>
        <row r="874">
          <cell r="A874">
            <v>871</v>
          </cell>
          <cell r="C874">
            <v>3708004111</v>
          </cell>
          <cell r="D874" t="str">
            <v>兖州建设路の机架-1</v>
          </cell>
        </row>
        <row r="875">
          <cell r="A875">
            <v>872</v>
          </cell>
          <cell r="C875">
            <v>3708004112</v>
          </cell>
          <cell r="D875" t="str">
            <v>兖州建设路の机架-2</v>
          </cell>
        </row>
        <row r="876">
          <cell r="A876">
            <v>873</v>
          </cell>
          <cell r="C876">
            <v>3708004113</v>
          </cell>
          <cell r="D876" t="str">
            <v>兖州建设路の机架-3</v>
          </cell>
        </row>
        <row r="877">
          <cell r="A877">
            <v>874</v>
          </cell>
          <cell r="C877">
            <v>3708004121</v>
          </cell>
          <cell r="D877" t="str">
            <v>兖州建设路の机架-4</v>
          </cell>
        </row>
        <row r="878">
          <cell r="A878">
            <v>875</v>
          </cell>
          <cell r="C878">
            <v>3708004122</v>
          </cell>
          <cell r="D878" t="str">
            <v>兖州建设路の机架-5</v>
          </cell>
        </row>
        <row r="879">
          <cell r="A879">
            <v>876</v>
          </cell>
          <cell r="C879">
            <v>3708004123</v>
          </cell>
          <cell r="D879" t="str">
            <v>兖州建设路の机架-6</v>
          </cell>
        </row>
        <row r="880">
          <cell r="A880">
            <v>877</v>
          </cell>
          <cell r="C880">
            <v>3708004131</v>
          </cell>
          <cell r="D880" t="str">
            <v>兖州建设路の机架-7</v>
          </cell>
        </row>
        <row r="881">
          <cell r="A881">
            <v>878</v>
          </cell>
          <cell r="C881">
            <v>3708004132</v>
          </cell>
          <cell r="D881" t="str">
            <v>兖州建设路の机架-8</v>
          </cell>
        </row>
        <row r="882">
          <cell r="A882">
            <v>879</v>
          </cell>
          <cell r="C882">
            <v>3708004133</v>
          </cell>
          <cell r="D882" t="str">
            <v>兖州建设路の机架-9</v>
          </cell>
        </row>
        <row r="883">
          <cell r="A883">
            <v>880</v>
          </cell>
          <cell r="C883">
            <v>3708005111</v>
          </cell>
          <cell r="D883" t="str">
            <v>邹城太平西路の机架-1</v>
          </cell>
        </row>
        <row r="884">
          <cell r="A884">
            <v>881</v>
          </cell>
          <cell r="C884">
            <v>3708005112</v>
          </cell>
          <cell r="D884" t="str">
            <v>邹城太平西路の机架-2</v>
          </cell>
        </row>
        <row r="885">
          <cell r="A885">
            <v>882</v>
          </cell>
          <cell r="C885">
            <v>3708005113</v>
          </cell>
          <cell r="D885" t="str">
            <v>邹城太平西路の机架-3</v>
          </cell>
        </row>
        <row r="886">
          <cell r="A886">
            <v>883</v>
          </cell>
          <cell r="C886">
            <v>3708005121</v>
          </cell>
          <cell r="D886" t="str">
            <v>邹城太平西路の机架-4</v>
          </cell>
        </row>
        <row r="887">
          <cell r="A887">
            <v>884</v>
          </cell>
          <cell r="C887">
            <v>3708005122</v>
          </cell>
          <cell r="D887" t="str">
            <v>邹城太平西路の机架-5</v>
          </cell>
        </row>
        <row r="888">
          <cell r="A888">
            <v>885</v>
          </cell>
          <cell r="C888">
            <v>3708005123</v>
          </cell>
          <cell r="D888" t="str">
            <v>邹城太平西路の机架-6</v>
          </cell>
        </row>
        <row r="889">
          <cell r="A889">
            <v>886</v>
          </cell>
          <cell r="C889">
            <v>3708005131</v>
          </cell>
          <cell r="D889" t="str">
            <v>邹城太平西路の机架-7</v>
          </cell>
        </row>
        <row r="890">
          <cell r="A890">
            <v>887</v>
          </cell>
          <cell r="C890">
            <v>3708005132</v>
          </cell>
          <cell r="D890" t="str">
            <v>邹城太平西路の机架-8</v>
          </cell>
        </row>
        <row r="891">
          <cell r="A891">
            <v>888</v>
          </cell>
          <cell r="C891">
            <v>3708005133</v>
          </cell>
          <cell r="D891" t="str">
            <v>邹城太平西路の机架-9</v>
          </cell>
        </row>
        <row r="892">
          <cell r="A892">
            <v>889</v>
          </cell>
          <cell r="C892">
            <v>3708006111</v>
          </cell>
          <cell r="D892" t="str">
            <v>曲阜鼓楼街の机架-1</v>
          </cell>
        </row>
        <row r="893">
          <cell r="A893">
            <v>890</v>
          </cell>
          <cell r="C893">
            <v>3708006112</v>
          </cell>
          <cell r="D893" t="str">
            <v>曲阜鼓楼街の机架-2</v>
          </cell>
        </row>
        <row r="894">
          <cell r="A894">
            <v>891</v>
          </cell>
          <cell r="C894">
            <v>3708006113</v>
          </cell>
          <cell r="D894" t="str">
            <v>曲阜鼓楼街の机架-3</v>
          </cell>
        </row>
        <row r="895">
          <cell r="A895">
            <v>892</v>
          </cell>
          <cell r="C895">
            <v>3708006121</v>
          </cell>
          <cell r="D895" t="str">
            <v>曲阜鼓楼街の机架-4</v>
          </cell>
        </row>
        <row r="896">
          <cell r="A896">
            <v>893</v>
          </cell>
          <cell r="C896">
            <v>3708006122</v>
          </cell>
          <cell r="D896" t="str">
            <v>曲阜鼓楼街の机架-5</v>
          </cell>
        </row>
        <row r="897">
          <cell r="A897">
            <v>894</v>
          </cell>
          <cell r="C897">
            <v>3708006123</v>
          </cell>
          <cell r="D897" t="str">
            <v>曲阜鼓楼街の机架-6</v>
          </cell>
        </row>
        <row r="898">
          <cell r="A898">
            <v>895</v>
          </cell>
          <cell r="C898">
            <v>3708006131</v>
          </cell>
          <cell r="D898" t="str">
            <v>曲阜鼓楼街の机架-7</v>
          </cell>
        </row>
        <row r="899">
          <cell r="A899">
            <v>896</v>
          </cell>
          <cell r="C899">
            <v>3708006132</v>
          </cell>
          <cell r="D899" t="str">
            <v>曲阜鼓楼街の机架-8</v>
          </cell>
        </row>
        <row r="900">
          <cell r="A900">
            <v>897</v>
          </cell>
          <cell r="C900">
            <v>3708006133</v>
          </cell>
          <cell r="D900" t="str">
            <v>曲阜鼓楼街の机架-9</v>
          </cell>
        </row>
        <row r="901">
          <cell r="A901">
            <v>898</v>
          </cell>
          <cell r="C901">
            <v>3708007111</v>
          </cell>
          <cell r="D901" t="str">
            <v>嘉祥中心街の机架-1</v>
          </cell>
        </row>
        <row r="902">
          <cell r="A902">
            <v>899</v>
          </cell>
          <cell r="C902">
            <v>3708007112</v>
          </cell>
          <cell r="D902" t="str">
            <v>嘉祥中心街の机架-2</v>
          </cell>
        </row>
        <row r="903">
          <cell r="A903">
            <v>900</v>
          </cell>
          <cell r="C903">
            <v>3708007113</v>
          </cell>
          <cell r="D903" t="str">
            <v>嘉祥中心街の机架-3</v>
          </cell>
        </row>
        <row r="904">
          <cell r="A904">
            <v>901</v>
          </cell>
          <cell r="C904">
            <v>3708007121</v>
          </cell>
          <cell r="D904" t="str">
            <v>嘉祥中心街の机架-4</v>
          </cell>
        </row>
        <row r="905">
          <cell r="A905">
            <v>902</v>
          </cell>
          <cell r="C905">
            <v>3708007122</v>
          </cell>
          <cell r="D905" t="str">
            <v>嘉祥中心街の机架-5</v>
          </cell>
        </row>
        <row r="906">
          <cell r="A906">
            <v>903</v>
          </cell>
          <cell r="C906">
            <v>3708007123</v>
          </cell>
          <cell r="D906" t="str">
            <v>嘉祥中心街の机架-6</v>
          </cell>
        </row>
        <row r="907">
          <cell r="A907">
            <v>904</v>
          </cell>
          <cell r="C907">
            <v>3708007131</v>
          </cell>
          <cell r="D907" t="str">
            <v>嘉祥中心街の机架-7</v>
          </cell>
        </row>
        <row r="908">
          <cell r="A908">
            <v>905</v>
          </cell>
          <cell r="C908">
            <v>3708007132</v>
          </cell>
          <cell r="D908" t="str">
            <v>嘉祥中心街の机架-8</v>
          </cell>
        </row>
        <row r="909">
          <cell r="A909">
            <v>906</v>
          </cell>
          <cell r="C909">
            <v>3708007133</v>
          </cell>
          <cell r="D909" t="str">
            <v>嘉祥中心街の机架-9</v>
          </cell>
        </row>
        <row r="910">
          <cell r="A910">
            <v>907</v>
          </cell>
          <cell r="C910">
            <v>3708008111</v>
          </cell>
          <cell r="D910" t="str">
            <v>梁山水泊路の机架-1</v>
          </cell>
        </row>
        <row r="911">
          <cell r="A911">
            <v>908</v>
          </cell>
          <cell r="C911">
            <v>3708008112</v>
          </cell>
          <cell r="D911" t="str">
            <v>梁山水泊路の机架-2</v>
          </cell>
        </row>
        <row r="912">
          <cell r="A912">
            <v>909</v>
          </cell>
          <cell r="C912">
            <v>3708008113</v>
          </cell>
          <cell r="D912" t="str">
            <v>梁山水泊路の机架-3</v>
          </cell>
        </row>
        <row r="913">
          <cell r="A913">
            <v>910</v>
          </cell>
          <cell r="C913">
            <v>3708008121</v>
          </cell>
          <cell r="D913" t="str">
            <v>梁山水泊路の机架-4</v>
          </cell>
        </row>
        <row r="914">
          <cell r="A914">
            <v>911</v>
          </cell>
          <cell r="C914">
            <v>3708008122</v>
          </cell>
          <cell r="D914" t="str">
            <v>梁山水泊路の机架-5</v>
          </cell>
        </row>
        <row r="915">
          <cell r="A915">
            <v>912</v>
          </cell>
          <cell r="C915">
            <v>3708008123</v>
          </cell>
          <cell r="D915" t="str">
            <v>梁山水泊路の机架-6</v>
          </cell>
        </row>
        <row r="916">
          <cell r="A916">
            <v>913</v>
          </cell>
          <cell r="C916">
            <v>3708008131</v>
          </cell>
          <cell r="D916" t="str">
            <v>梁山水泊路の机架-7</v>
          </cell>
        </row>
        <row r="917">
          <cell r="A917">
            <v>914</v>
          </cell>
          <cell r="C917">
            <v>3708008132</v>
          </cell>
          <cell r="D917" t="str">
            <v>梁山水泊路の机架-8</v>
          </cell>
        </row>
        <row r="918">
          <cell r="A918">
            <v>915</v>
          </cell>
          <cell r="C918">
            <v>3708008133</v>
          </cell>
          <cell r="D918" t="str">
            <v>梁山水泊路の机架-9</v>
          </cell>
        </row>
        <row r="919">
          <cell r="A919">
            <v>916</v>
          </cell>
          <cell r="C919">
            <v>3709001111</v>
          </cell>
          <cell r="D919" t="str">
            <v>泰安东岳大街の机架-1</v>
          </cell>
        </row>
        <row r="920">
          <cell r="A920">
            <v>917</v>
          </cell>
          <cell r="C920">
            <v>3709001112</v>
          </cell>
          <cell r="D920" t="str">
            <v>泰安东岳大街の机架-2</v>
          </cell>
        </row>
        <row r="921">
          <cell r="A921">
            <v>918</v>
          </cell>
          <cell r="C921">
            <v>3709001113</v>
          </cell>
          <cell r="D921" t="str">
            <v>泰安东岳大街の机架-3</v>
          </cell>
        </row>
        <row r="922">
          <cell r="A922">
            <v>919</v>
          </cell>
          <cell r="C922">
            <v>3709001121</v>
          </cell>
          <cell r="D922" t="str">
            <v>泰安东岳大街の机架-4</v>
          </cell>
        </row>
        <row r="923">
          <cell r="A923">
            <v>920</v>
          </cell>
          <cell r="C923">
            <v>3709001122</v>
          </cell>
          <cell r="D923" t="str">
            <v>泰安东岳大街の机架-5</v>
          </cell>
        </row>
        <row r="924">
          <cell r="A924">
            <v>921</v>
          </cell>
          <cell r="C924">
            <v>3709001123</v>
          </cell>
          <cell r="D924" t="str">
            <v>泰安东岳大街の机架-6</v>
          </cell>
        </row>
        <row r="925">
          <cell r="A925">
            <v>922</v>
          </cell>
          <cell r="C925">
            <v>3709001131</v>
          </cell>
          <cell r="D925" t="str">
            <v>泰安东岳大街の机架-7</v>
          </cell>
        </row>
        <row r="926">
          <cell r="A926">
            <v>923</v>
          </cell>
          <cell r="C926">
            <v>3709001132</v>
          </cell>
          <cell r="D926" t="str">
            <v>泰安东岳大街の机架-8</v>
          </cell>
        </row>
        <row r="927">
          <cell r="A927">
            <v>924</v>
          </cell>
          <cell r="C927">
            <v>3709001133</v>
          </cell>
          <cell r="D927" t="str">
            <v>泰安东岳大街の机架-9</v>
          </cell>
        </row>
        <row r="928">
          <cell r="A928">
            <v>925</v>
          </cell>
          <cell r="C928">
            <v>3709001211</v>
          </cell>
          <cell r="D928" t="str">
            <v>泰安东岳大街の机架-10</v>
          </cell>
        </row>
        <row r="929">
          <cell r="A929">
            <v>926</v>
          </cell>
          <cell r="C929">
            <v>3709001212</v>
          </cell>
          <cell r="D929" t="str">
            <v>泰安东岳大街の机架-11</v>
          </cell>
        </row>
        <row r="930">
          <cell r="A930">
            <v>927</v>
          </cell>
          <cell r="C930">
            <v>3709001213</v>
          </cell>
          <cell r="D930" t="str">
            <v>泰安东岳大街の机架-12</v>
          </cell>
        </row>
        <row r="931">
          <cell r="A931">
            <v>928</v>
          </cell>
          <cell r="C931">
            <v>3709001221</v>
          </cell>
          <cell r="D931" t="str">
            <v>泰安东岳大街の机架-13</v>
          </cell>
        </row>
        <row r="932">
          <cell r="A932">
            <v>929</v>
          </cell>
          <cell r="C932">
            <v>3709001222</v>
          </cell>
          <cell r="D932" t="str">
            <v>泰安东岳大街の机架-14</v>
          </cell>
        </row>
        <row r="933">
          <cell r="A933">
            <v>930</v>
          </cell>
          <cell r="C933">
            <v>3709001223</v>
          </cell>
          <cell r="D933" t="str">
            <v>泰安东岳大街の机架-15</v>
          </cell>
        </row>
        <row r="934">
          <cell r="A934">
            <v>931</v>
          </cell>
          <cell r="C934">
            <v>3709001231</v>
          </cell>
          <cell r="D934" t="str">
            <v>泰安东岳大街の机架-16</v>
          </cell>
        </row>
        <row r="935">
          <cell r="A935">
            <v>932</v>
          </cell>
          <cell r="C935">
            <v>3709001232</v>
          </cell>
          <cell r="D935" t="str">
            <v>泰安东岳大街の机架-17</v>
          </cell>
        </row>
        <row r="936">
          <cell r="A936">
            <v>933</v>
          </cell>
          <cell r="C936">
            <v>3709001233</v>
          </cell>
          <cell r="D936" t="str">
            <v>泰安东岳大街の机架-18</v>
          </cell>
        </row>
        <row r="937">
          <cell r="A937">
            <v>934</v>
          </cell>
          <cell r="C937">
            <v>3709002111</v>
          </cell>
          <cell r="D937" t="str">
            <v>泰安中心局の机架-1</v>
          </cell>
        </row>
        <row r="938">
          <cell r="A938">
            <v>935</v>
          </cell>
          <cell r="C938">
            <v>3709002112</v>
          </cell>
          <cell r="D938" t="str">
            <v>泰安中心局の机架-2</v>
          </cell>
        </row>
        <row r="939">
          <cell r="A939">
            <v>936</v>
          </cell>
          <cell r="C939">
            <v>3709002113</v>
          </cell>
          <cell r="D939" t="str">
            <v>泰安中心局の机架-3</v>
          </cell>
        </row>
        <row r="940">
          <cell r="A940">
            <v>937</v>
          </cell>
          <cell r="C940">
            <v>3709002121</v>
          </cell>
          <cell r="D940" t="str">
            <v>泰安中心局の机架-4</v>
          </cell>
        </row>
        <row r="941">
          <cell r="A941">
            <v>938</v>
          </cell>
          <cell r="C941">
            <v>3709002122</v>
          </cell>
          <cell r="D941" t="str">
            <v>泰安中心局の机架-5</v>
          </cell>
        </row>
        <row r="942">
          <cell r="A942">
            <v>939</v>
          </cell>
          <cell r="C942">
            <v>3709002123</v>
          </cell>
          <cell r="D942" t="str">
            <v>泰安中心局の机架-6</v>
          </cell>
        </row>
        <row r="943">
          <cell r="A943">
            <v>940</v>
          </cell>
          <cell r="C943">
            <v>3709002131</v>
          </cell>
          <cell r="D943" t="str">
            <v>泰安中心局の机架-7</v>
          </cell>
        </row>
        <row r="944">
          <cell r="A944">
            <v>941</v>
          </cell>
          <cell r="C944">
            <v>3709002132</v>
          </cell>
          <cell r="D944" t="str">
            <v>泰安中心局の机架-8</v>
          </cell>
        </row>
        <row r="945">
          <cell r="A945">
            <v>942</v>
          </cell>
          <cell r="C945">
            <v>3709002133</v>
          </cell>
          <cell r="D945" t="str">
            <v>泰安中心局の机架-9</v>
          </cell>
        </row>
        <row r="946">
          <cell r="A946">
            <v>943</v>
          </cell>
          <cell r="C946">
            <v>3709003111</v>
          </cell>
          <cell r="D946" t="str">
            <v>泰安青年路中心局の机架-1</v>
          </cell>
        </row>
        <row r="947">
          <cell r="A947">
            <v>944</v>
          </cell>
          <cell r="C947">
            <v>3709003112</v>
          </cell>
          <cell r="D947" t="str">
            <v>泰安青年路中心局の机架-2</v>
          </cell>
        </row>
        <row r="948">
          <cell r="A948">
            <v>945</v>
          </cell>
          <cell r="C948">
            <v>3709003113</v>
          </cell>
          <cell r="D948" t="str">
            <v>泰安青年路中心局の机架-3</v>
          </cell>
        </row>
        <row r="949">
          <cell r="A949">
            <v>946</v>
          </cell>
          <cell r="C949">
            <v>3709003121</v>
          </cell>
          <cell r="D949" t="str">
            <v>泰安青年路中心局の机架-4</v>
          </cell>
        </row>
        <row r="950">
          <cell r="A950">
            <v>947</v>
          </cell>
          <cell r="C950">
            <v>3709003122</v>
          </cell>
          <cell r="D950" t="str">
            <v>泰安青年路中心局の机架-5</v>
          </cell>
        </row>
        <row r="951">
          <cell r="A951">
            <v>948</v>
          </cell>
          <cell r="C951">
            <v>3709003123</v>
          </cell>
          <cell r="D951" t="str">
            <v>泰安青年路中心局の机架-6</v>
          </cell>
        </row>
        <row r="952">
          <cell r="A952">
            <v>949</v>
          </cell>
          <cell r="C952">
            <v>3709003131</v>
          </cell>
          <cell r="D952" t="str">
            <v>泰安青年路中心局の机架-7</v>
          </cell>
        </row>
        <row r="953">
          <cell r="A953">
            <v>950</v>
          </cell>
          <cell r="C953">
            <v>3709003132</v>
          </cell>
          <cell r="D953" t="str">
            <v>泰安青年路中心局の机架-8</v>
          </cell>
        </row>
        <row r="954">
          <cell r="A954">
            <v>951</v>
          </cell>
          <cell r="C954">
            <v>3709003133</v>
          </cell>
          <cell r="D954" t="str">
            <v>泰安青年路中心局の机架-9</v>
          </cell>
        </row>
        <row r="955">
          <cell r="A955">
            <v>952</v>
          </cell>
          <cell r="C955">
            <v>3709004111</v>
          </cell>
          <cell r="D955" t="str">
            <v>肥城新城路の机架-1</v>
          </cell>
        </row>
        <row r="956">
          <cell r="A956">
            <v>953</v>
          </cell>
          <cell r="C956">
            <v>3709004112</v>
          </cell>
          <cell r="D956" t="str">
            <v>肥城新城路の机架-2</v>
          </cell>
        </row>
        <row r="957">
          <cell r="A957">
            <v>954</v>
          </cell>
          <cell r="C957">
            <v>3709004113</v>
          </cell>
          <cell r="D957" t="str">
            <v>肥城新城路の机架-3</v>
          </cell>
        </row>
        <row r="958">
          <cell r="A958">
            <v>955</v>
          </cell>
          <cell r="C958">
            <v>3709004121</v>
          </cell>
          <cell r="D958" t="str">
            <v>肥城新城路の机架-4</v>
          </cell>
        </row>
        <row r="959">
          <cell r="A959">
            <v>956</v>
          </cell>
          <cell r="C959">
            <v>3709004122</v>
          </cell>
          <cell r="D959" t="str">
            <v>肥城新城路の机架-5</v>
          </cell>
        </row>
        <row r="960">
          <cell r="A960">
            <v>957</v>
          </cell>
          <cell r="C960">
            <v>3709004123</v>
          </cell>
          <cell r="D960" t="str">
            <v>肥城新城路の机架-6</v>
          </cell>
        </row>
        <row r="961">
          <cell r="A961">
            <v>958</v>
          </cell>
          <cell r="C961">
            <v>3709004131</v>
          </cell>
          <cell r="D961" t="str">
            <v>肥城新城路の机架-7</v>
          </cell>
        </row>
        <row r="962">
          <cell r="A962">
            <v>959</v>
          </cell>
          <cell r="C962">
            <v>3709004132</v>
          </cell>
          <cell r="D962" t="str">
            <v>肥城新城路の机架-8</v>
          </cell>
        </row>
        <row r="963">
          <cell r="A963">
            <v>960</v>
          </cell>
          <cell r="C963">
            <v>3709004133</v>
          </cell>
          <cell r="D963" t="str">
            <v>肥城新城路の机架-9</v>
          </cell>
        </row>
        <row r="964">
          <cell r="A964">
            <v>961</v>
          </cell>
          <cell r="C964">
            <v>3710001111</v>
          </cell>
          <cell r="D964" t="str">
            <v>威海南竹岛の机架-1</v>
          </cell>
        </row>
        <row r="965">
          <cell r="A965">
            <v>962</v>
          </cell>
          <cell r="C965">
            <v>3710001112</v>
          </cell>
          <cell r="D965" t="str">
            <v>威海南竹岛の机架-2</v>
          </cell>
        </row>
        <row r="966">
          <cell r="A966">
            <v>963</v>
          </cell>
          <cell r="C966">
            <v>3710001113</v>
          </cell>
          <cell r="D966" t="str">
            <v>威海南竹岛の机架-3</v>
          </cell>
        </row>
        <row r="967">
          <cell r="A967">
            <v>964</v>
          </cell>
          <cell r="C967">
            <v>3710001121</v>
          </cell>
          <cell r="D967" t="str">
            <v>威海南竹岛の机架-4</v>
          </cell>
        </row>
        <row r="968">
          <cell r="A968">
            <v>965</v>
          </cell>
          <cell r="C968">
            <v>3710001122</v>
          </cell>
          <cell r="D968" t="str">
            <v>威海南竹岛の机架-5</v>
          </cell>
        </row>
        <row r="969">
          <cell r="A969">
            <v>966</v>
          </cell>
          <cell r="C969">
            <v>3710001123</v>
          </cell>
          <cell r="D969" t="str">
            <v>威海南竹岛の机架-6</v>
          </cell>
        </row>
        <row r="970">
          <cell r="A970">
            <v>967</v>
          </cell>
          <cell r="C970">
            <v>3710001131</v>
          </cell>
          <cell r="D970" t="str">
            <v>威海南竹岛の机架-7</v>
          </cell>
        </row>
        <row r="971">
          <cell r="A971">
            <v>968</v>
          </cell>
          <cell r="C971">
            <v>3710001132</v>
          </cell>
          <cell r="D971" t="str">
            <v>威海南竹岛の机架-8</v>
          </cell>
        </row>
        <row r="972">
          <cell r="A972">
            <v>969</v>
          </cell>
          <cell r="C972">
            <v>3710001133</v>
          </cell>
          <cell r="D972" t="str">
            <v>威海南竹岛の机架-9</v>
          </cell>
        </row>
        <row r="973">
          <cell r="A973">
            <v>970</v>
          </cell>
          <cell r="C973">
            <v>3710001211</v>
          </cell>
          <cell r="D973" t="str">
            <v>威海南竹岛の机架-10</v>
          </cell>
        </row>
        <row r="974">
          <cell r="A974">
            <v>971</v>
          </cell>
          <cell r="C974">
            <v>3710001212</v>
          </cell>
          <cell r="D974" t="str">
            <v>威海南竹岛の机架-11</v>
          </cell>
        </row>
        <row r="975">
          <cell r="A975">
            <v>972</v>
          </cell>
          <cell r="C975">
            <v>3710001213</v>
          </cell>
          <cell r="D975" t="str">
            <v>威海南竹岛の机架-12</v>
          </cell>
        </row>
        <row r="976">
          <cell r="A976">
            <v>973</v>
          </cell>
          <cell r="C976">
            <v>3710001221</v>
          </cell>
          <cell r="D976" t="str">
            <v>威海南竹岛の机架-13</v>
          </cell>
        </row>
        <row r="977">
          <cell r="A977">
            <v>974</v>
          </cell>
          <cell r="C977">
            <v>3710001222</v>
          </cell>
          <cell r="D977" t="str">
            <v>威海南竹岛の机架-14</v>
          </cell>
        </row>
        <row r="978">
          <cell r="A978">
            <v>975</v>
          </cell>
          <cell r="C978">
            <v>3710001223</v>
          </cell>
          <cell r="D978" t="str">
            <v>威海南竹岛の机架-15</v>
          </cell>
        </row>
        <row r="979">
          <cell r="A979">
            <v>976</v>
          </cell>
          <cell r="C979">
            <v>3710001231</v>
          </cell>
          <cell r="D979" t="str">
            <v>威海南竹岛の机架-16</v>
          </cell>
        </row>
        <row r="980">
          <cell r="A980">
            <v>977</v>
          </cell>
          <cell r="C980">
            <v>3710001232</v>
          </cell>
          <cell r="D980" t="str">
            <v>威海南竹岛の机架-17</v>
          </cell>
        </row>
        <row r="981">
          <cell r="A981">
            <v>978</v>
          </cell>
          <cell r="C981">
            <v>3710001233</v>
          </cell>
          <cell r="D981" t="str">
            <v>威海南竹岛の机架-18</v>
          </cell>
        </row>
        <row r="982">
          <cell r="A982">
            <v>979</v>
          </cell>
          <cell r="C982">
            <v>3710002111</v>
          </cell>
          <cell r="D982" t="str">
            <v>威海青岛北路の机架-1</v>
          </cell>
        </row>
        <row r="983">
          <cell r="A983">
            <v>980</v>
          </cell>
          <cell r="C983">
            <v>3710002112</v>
          </cell>
          <cell r="D983" t="str">
            <v>威海青岛北路の机架-2</v>
          </cell>
        </row>
        <row r="984">
          <cell r="A984">
            <v>981</v>
          </cell>
          <cell r="C984">
            <v>3710002113</v>
          </cell>
          <cell r="D984" t="str">
            <v>威海青岛北路の机架-3</v>
          </cell>
        </row>
        <row r="985">
          <cell r="A985">
            <v>982</v>
          </cell>
          <cell r="C985">
            <v>3710002121</v>
          </cell>
          <cell r="D985" t="str">
            <v>威海青岛北路の机架-4</v>
          </cell>
        </row>
        <row r="986">
          <cell r="A986">
            <v>983</v>
          </cell>
          <cell r="C986">
            <v>3710002122</v>
          </cell>
          <cell r="D986" t="str">
            <v>威海青岛北路の机架-5</v>
          </cell>
        </row>
        <row r="987">
          <cell r="A987">
            <v>984</v>
          </cell>
          <cell r="C987">
            <v>3710002123</v>
          </cell>
          <cell r="D987" t="str">
            <v>威海青岛北路の机架-6</v>
          </cell>
        </row>
        <row r="988">
          <cell r="A988">
            <v>985</v>
          </cell>
          <cell r="C988">
            <v>3710002131</v>
          </cell>
          <cell r="D988" t="str">
            <v>威海青岛北路の机架-7</v>
          </cell>
        </row>
        <row r="989">
          <cell r="A989">
            <v>986</v>
          </cell>
          <cell r="C989">
            <v>3710002132</v>
          </cell>
          <cell r="D989" t="str">
            <v>威海青岛北路の机架-8</v>
          </cell>
        </row>
        <row r="990">
          <cell r="A990">
            <v>987</v>
          </cell>
          <cell r="C990">
            <v>3710002133</v>
          </cell>
          <cell r="D990" t="str">
            <v>威海青岛北路の机架-9</v>
          </cell>
        </row>
        <row r="991">
          <cell r="A991">
            <v>988</v>
          </cell>
          <cell r="C991">
            <v>3710003111</v>
          </cell>
          <cell r="D991" t="str">
            <v>威海新威路522局の机架-1</v>
          </cell>
        </row>
        <row r="992">
          <cell r="A992">
            <v>989</v>
          </cell>
          <cell r="C992">
            <v>3710003112</v>
          </cell>
          <cell r="D992" t="str">
            <v>威海新威路522局の机架-2</v>
          </cell>
        </row>
        <row r="993">
          <cell r="A993">
            <v>990</v>
          </cell>
          <cell r="C993">
            <v>3710003113</v>
          </cell>
          <cell r="D993" t="str">
            <v>威海新威路522局の机架-3</v>
          </cell>
        </row>
        <row r="994">
          <cell r="A994">
            <v>991</v>
          </cell>
          <cell r="C994">
            <v>3710003121</v>
          </cell>
          <cell r="D994" t="str">
            <v>威海新威路522局の机架-4</v>
          </cell>
        </row>
        <row r="995">
          <cell r="A995">
            <v>992</v>
          </cell>
          <cell r="C995">
            <v>3710003122</v>
          </cell>
          <cell r="D995" t="str">
            <v>威海新威路522局の机架-5</v>
          </cell>
        </row>
        <row r="996">
          <cell r="A996">
            <v>993</v>
          </cell>
          <cell r="C996">
            <v>3710003123</v>
          </cell>
          <cell r="D996" t="str">
            <v>威海新威路522局の机架-6</v>
          </cell>
        </row>
        <row r="997">
          <cell r="A997">
            <v>994</v>
          </cell>
          <cell r="C997">
            <v>3710003131</v>
          </cell>
          <cell r="D997" t="str">
            <v>威海新威路522局の机架-7</v>
          </cell>
        </row>
        <row r="998">
          <cell r="A998">
            <v>995</v>
          </cell>
          <cell r="C998">
            <v>3710003132</v>
          </cell>
          <cell r="D998" t="str">
            <v>威海新威路522局の机架-8</v>
          </cell>
        </row>
        <row r="999">
          <cell r="A999">
            <v>996</v>
          </cell>
          <cell r="C999">
            <v>3710003133</v>
          </cell>
          <cell r="D999" t="str">
            <v>威海新威路522局の机架-9</v>
          </cell>
        </row>
        <row r="1000">
          <cell r="A1000">
            <v>997</v>
          </cell>
          <cell r="C1000">
            <v>3710004111</v>
          </cell>
          <cell r="D1000" t="str">
            <v>威海初村の机架-1</v>
          </cell>
        </row>
        <row r="1001">
          <cell r="A1001">
            <v>998</v>
          </cell>
          <cell r="C1001">
            <v>3710004112</v>
          </cell>
          <cell r="D1001" t="str">
            <v>威海初村の机架-2</v>
          </cell>
        </row>
        <row r="1002">
          <cell r="A1002">
            <v>999</v>
          </cell>
          <cell r="C1002">
            <v>3710004113</v>
          </cell>
          <cell r="D1002" t="str">
            <v>威海初村の机架-3</v>
          </cell>
        </row>
        <row r="1003">
          <cell r="A1003">
            <v>1000</v>
          </cell>
          <cell r="C1003">
            <v>3710004121</v>
          </cell>
          <cell r="D1003" t="str">
            <v>威海初村の机架-4</v>
          </cell>
        </row>
        <row r="1004">
          <cell r="A1004">
            <v>1001</v>
          </cell>
          <cell r="C1004">
            <v>3710004122</v>
          </cell>
          <cell r="D1004" t="str">
            <v>威海初村の机架-5</v>
          </cell>
        </row>
        <row r="1005">
          <cell r="A1005">
            <v>1002</v>
          </cell>
          <cell r="C1005">
            <v>3710004123</v>
          </cell>
          <cell r="D1005" t="str">
            <v>威海初村の机架-6</v>
          </cell>
        </row>
        <row r="1006">
          <cell r="A1006">
            <v>1003</v>
          </cell>
          <cell r="C1006">
            <v>3710004131</v>
          </cell>
          <cell r="D1006" t="str">
            <v>威海初村の机架-7</v>
          </cell>
        </row>
        <row r="1007">
          <cell r="A1007">
            <v>1004</v>
          </cell>
          <cell r="C1007">
            <v>3710004132</v>
          </cell>
          <cell r="D1007" t="str">
            <v>威海初村の机架-8</v>
          </cell>
        </row>
        <row r="1008">
          <cell r="A1008">
            <v>1005</v>
          </cell>
          <cell r="C1008">
            <v>3710004133</v>
          </cell>
          <cell r="D1008" t="str">
            <v>威海初村の机架-9</v>
          </cell>
        </row>
        <row r="1009">
          <cell r="A1009">
            <v>1006</v>
          </cell>
          <cell r="C1009">
            <v>3710005111</v>
          </cell>
          <cell r="D1009" t="str">
            <v>威海田村の机架-1</v>
          </cell>
        </row>
        <row r="1010">
          <cell r="A1010">
            <v>1007</v>
          </cell>
          <cell r="C1010">
            <v>3710005112</v>
          </cell>
          <cell r="D1010" t="str">
            <v>威海田村の机架-2</v>
          </cell>
        </row>
        <row r="1011">
          <cell r="A1011">
            <v>1008</v>
          </cell>
          <cell r="C1011">
            <v>3710005113</v>
          </cell>
          <cell r="D1011" t="str">
            <v>威海田村の机架-3</v>
          </cell>
        </row>
        <row r="1012">
          <cell r="A1012">
            <v>1009</v>
          </cell>
          <cell r="C1012">
            <v>3710005121</v>
          </cell>
          <cell r="D1012" t="str">
            <v>威海田村の机架-4</v>
          </cell>
        </row>
        <row r="1013">
          <cell r="A1013">
            <v>1010</v>
          </cell>
          <cell r="C1013">
            <v>3710005122</v>
          </cell>
          <cell r="D1013" t="str">
            <v>威海田村の机架-5</v>
          </cell>
        </row>
        <row r="1014">
          <cell r="A1014">
            <v>1011</v>
          </cell>
          <cell r="C1014">
            <v>3710005123</v>
          </cell>
          <cell r="D1014" t="str">
            <v>威海田村の机架-6</v>
          </cell>
        </row>
        <row r="1015">
          <cell r="A1015">
            <v>1012</v>
          </cell>
          <cell r="C1015">
            <v>3710005131</v>
          </cell>
          <cell r="D1015" t="str">
            <v>威海田村の机架-7</v>
          </cell>
        </row>
        <row r="1016">
          <cell r="A1016">
            <v>1013</v>
          </cell>
          <cell r="C1016">
            <v>3710005132</v>
          </cell>
          <cell r="D1016" t="str">
            <v>威海田村の机架-8</v>
          </cell>
        </row>
        <row r="1017">
          <cell r="A1017">
            <v>1014</v>
          </cell>
          <cell r="C1017">
            <v>3710005133</v>
          </cell>
          <cell r="D1017" t="str">
            <v>威海田村の机架-9</v>
          </cell>
        </row>
        <row r="1018">
          <cell r="A1018">
            <v>1015</v>
          </cell>
          <cell r="C1018">
            <v>3710006111</v>
          </cell>
          <cell r="D1018" t="str">
            <v>乳山青山路の机架-1</v>
          </cell>
        </row>
        <row r="1019">
          <cell r="A1019">
            <v>1016</v>
          </cell>
          <cell r="C1019">
            <v>3710006112</v>
          </cell>
          <cell r="D1019" t="str">
            <v>乳山青山路の机架-2</v>
          </cell>
        </row>
        <row r="1020">
          <cell r="A1020">
            <v>1017</v>
          </cell>
          <cell r="C1020">
            <v>3710006113</v>
          </cell>
          <cell r="D1020" t="str">
            <v>乳山青山路の机架-3</v>
          </cell>
        </row>
        <row r="1021">
          <cell r="A1021">
            <v>1018</v>
          </cell>
          <cell r="C1021">
            <v>3710006121</v>
          </cell>
          <cell r="D1021" t="str">
            <v>乳山青山路の机架-4</v>
          </cell>
        </row>
        <row r="1022">
          <cell r="A1022">
            <v>1019</v>
          </cell>
          <cell r="C1022">
            <v>3710006122</v>
          </cell>
          <cell r="D1022" t="str">
            <v>乳山青山路の机架-5</v>
          </cell>
        </row>
        <row r="1023">
          <cell r="A1023">
            <v>1020</v>
          </cell>
          <cell r="C1023">
            <v>3710006123</v>
          </cell>
          <cell r="D1023" t="str">
            <v>乳山青山路の机架-6</v>
          </cell>
        </row>
        <row r="1024">
          <cell r="A1024">
            <v>1021</v>
          </cell>
          <cell r="C1024">
            <v>3710006131</v>
          </cell>
          <cell r="D1024" t="str">
            <v>乳山青山路の机架-7</v>
          </cell>
        </row>
        <row r="1025">
          <cell r="A1025">
            <v>1022</v>
          </cell>
          <cell r="C1025">
            <v>3710006132</v>
          </cell>
          <cell r="D1025" t="str">
            <v>乳山青山路の机架-8</v>
          </cell>
        </row>
        <row r="1026">
          <cell r="A1026">
            <v>1023</v>
          </cell>
          <cell r="C1026">
            <v>3710006133</v>
          </cell>
          <cell r="D1026" t="str">
            <v>乳山青山路の机架-9</v>
          </cell>
        </row>
        <row r="1027">
          <cell r="A1027">
            <v>1024</v>
          </cell>
          <cell r="C1027">
            <v>3710007111</v>
          </cell>
          <cell r="D1027" t="str">
            <v>乳山冯家の机架-1</v>
          </cell>
        </row>
        <row r="1028">
          <cell r="A1028">
            <v>1025</v>
          </cell>
          <cell r="C1028">
            <v>3710007112</v>
          </cell>
          <cell r="D1028" t="str">
            <v>乳山冯家の机架-2</v>
          </cell>
        </row>
        <row r="1029">
          <cell r="A1029">
            <v>1026</v>
          </cell>
          <cell r="C1029">
            <v>3710007113</v>
          </cell>
          <cell r="D1029" t="str">
            <v>乳山冯家の机架-3</v>
          </cell>
        </row>
        <row r="1030">
          <cell r="A1030">
            <v>1027</v>
          </cell>
          <cell r="C1030">
            <v>3710007121</v>
          </cell>
          <cell r="D1030" t="str">
            <v>乳山冯家の机架-4</v>
          </cell>
        </row>
        <row r="1031">
          <cell r="A1031">
            <v>1028</v>
          </cell>
          <cell r="C1031">
            <v>3710007122</v>
          </cell>
          <cell r="D1031" t="str">
            <v>乳山冯家の机架-5</v>
          </cell>
        </row>
        <row r="1032">
          <cell r="A1032">
            <v>1029</v>
          </cell>
          <cell r="C1032">
            <v>3710007123</v>
          </cell>
          <cell r="D1032" t="str">
            <v>乳山冯家の机架-6</v>
          </cell>
        </row>
        <row r="1033">
          <cell r="A1033">
            <v>1030</v>
          </cell>
          <cell r="C1033">
            <v>3710007131</v>
          </cell>
          <cell r="D1033" t="str">
            <v>乳山冯家の机架-7</v>
          </cell>
        </row>
        <row r="1034">
          <cell r="A1034">
            <v>1031</v>
          </cell>
          <cell r="C1034">
            <v>3710007132</v>
          </cell>
          <cell r="D1034" t="str">
            <v>乳山冯家の机架-8</v>
          </cell>
        </row>
        <row r="1035">
          <cell r="A1035">
            <v>1032</v>
          </cell>
          <cell r="C1035">
            <v>3710007133</v>
          </cell>
          <cell r="D1035" t="str">
            <v>乳山冯家の机架-9</v>
          </cell>
        </row>
        <row r="1036">
          <cell r="A1036">
            <v>1033</v>
          </cell>
          <cell r="C1036">
            <v>3710008111</v>
          </cell>
          <cell r="D1036" t="str">
            <v>文登文山路の机架-1</v>
          </cell>
        </row>
        <row r="1037">
          <cell r="A1037">
            <v>1034</v>
          </cell>
          <cell r="C1037">
            <v>3710008112</v>
          </cell>
          <cell r="D1037" t="str">
            <v>文登文山路の机架-2</v>
          </cell>
        </row>
        <row r="1038">
          <cell r="A1038">
            <v>1035</v>
          </cell>
          <cell r="C1038">
            <v>3710008113</v>
          </cell>
          <cell r="D1038" t="str">
            <v>文登文山路の机架-3</v>
          </cell>
        </row>
        <row r="1039">
          <cell r="A1039">
            <v>1036</v>
          </cell>
          <cell r="C1039">
            <v>3710008121</v>
          </cell>
          <cell r="D1039" t="str">
            <v>文登文山路の机架-4</v>
          </cell>
        </row>
        <row r="1040">
          <cell r="A1040">
            <v>1037</v>
          </cell>
          <cell r="C1040">
            <v>3710008122</v>
          </cell>
          <cell r="D1040" t="str">
            <v>文登文山路の机架-5</v>
          </cell>
        </row>
        <row r="1041">
          <cell r="A1041">
            <v>1038</v>
          </cell>
          <cell r="C1041">
            <v>3710008123</v>
          </cell>
          <cell r="D1041" t="str">
            <v>文登文山路の机架-6</v>
          </cell>
        </row>
        <row r="1042">
          <cell r="A1042">
            <v>1039</v>
          </cell>
          <cell r="C1042">
            <v>3710008131</v>
          </cell>
          <cell r="D1042" t="str">
            <v>文登文山路の机架-7</v>
          </cell>
        </row>
        <row r="1043">
          <cell r="A1043">
            <v>1040</v>
          </cell>
          <cell r="C1043">
            <v>3710008132</v>
          </cell>
          <cell r="D1043" t="str">
            <v>文登文山路の机架-8</v>
          </cell>
        </row>
        <row r="1044">
          <cell r="A1044">
            <v>1041</v>
          </cell>
          <cell r="C1044">
            <v>3710008133</v>
          </cell>
          <cell r="D1044" t="str">
            <v>文登文山路の机架-9</v>
          </cell>
        </row>
        <row r="1045">
          <cell r="A1045">
            <v>1042</v>
          </cell>
          <cell r="C1045">
            <v>3710009111</v>
          </cell>
          <cell r="D1045" t="str">
            <v>文泽头の机架-1</v>
          </cell>
        </row>
        <row r="1046">
          <cell r="A1046">
            <v>1043</v>
          </cell>
          <cell r="C1046">
            <v>3710009112</v>
          </cell>
          <cell r="D1046" t="str">
            <v>文泽头の机架-2</v>
          </cell>
        </row>
        <row r="1047">
          <cell r="A1047">
            <v>1044</v>
          </cell>
          <cell r="C1047">
            <v>3710009113</v>
          </cell>
          <cell r="D1047" t="str">
            <v>文泽头の机架-3</v>
          </cell>
        </row>
        <row r="1048">
          <cell r="A1048">
            <v>1045</v>
          </cell>
          <cell r="C1048">
            <v>3710009121</v>
          </cell>
          <cell r="D1048" t="str">
            <v>文泽头の机架-4</v>
          </cell>
        </row>
        <row r="1049">
          <cell r="A1049">
            <v>1046</v>
          </cell>
          <cell r="C1049">
            <v>3710009122</v>
          </cell>
          <cell r="D1049" t="str">
            <v>文泽头の机架-5</v>
          </cell>
        </row>
        <row r="1050">
          <cell r="A1050">
            <v>1047</v>
          </cell>
          <cell r="C1050">
            <v>3710009123</v>
          </cell>
          <cell r="D1050" t="str">
            <v>文泽头の机架-6</v>
          </cell>
        </row>
        <row r="1051">
          <cell r="A1051">
            <v>1048</v>
          </cell>
          <cell r="C1051">
            <v>3710009131</v>
          </cell>
          <cell r="D1051" t="str">
            <v>文泽头の机架-7</v>
          </cell>
        </row>
        <row r="1052">
          <cell r="A1052">
            <v>1049</v>
          </cell>
          <cell r="C1052">
            <v>3710009132</v>
          </cell>
          <cell r="D1052" t="str">
            <v>文泽头の机架-8</v>
          </cell>
        </row>
        <row r="1053">
          <cell r="A1053">
            <v>1050</v>
          </cell>
          <cell r="C1053">
            <v>3710009133</v>
          </cell>
          <cell r="D1053" t="str">
            <v>文泽头の机架-9</v>
          </cell>
        </row>
        <row r="1054">
          <cell r="A1054">
            <v>1051</v>
          </cell>
          <cell r="C1054">
            <v>3711001111</v>
          </cell>
          <cell r="D1054" t="str">
            <v>日照正阳路の机架-1</v>
          </cell>
        </row>
        <row r="1055">
          <cell r="A1055">
            <v>1052</v>
          </cell>
          <cell r="C1055">
            <v>3711001112</v>
          </cell>
          <cell r="D1055" t="str">
            <v>日照正阳路の机架-2</v>
          </cell>
        </row>
        <row r="1056">
          <cell r="A1056">
            <v>1053</v>
          </cell>
          <cell r="C1056">
            <v>3711001113</v>
          </cell>
          <cell r="D1056" t="str">
            <v>日照正阳路の机架-3</v>
          </cell>
        </row>
        <row r="1057">
          <cell r="A1057">
            <v>1054</v>
          </cell>
          <cell r="C1057">
            <v>3711001121</v>
          </cell>
          <cell r="D1057" t="str">
            <v>日照正阳路の机架-4</v>
          </cell>
        </row>
        <row r="1058">
          <cell r="A1058">
            <v>1055</v>
          </cell>
          <cell r="C1058">
            <v>3711001122</v>
          </cell>
          <cell r="D1058" t="str">
            <v>日照正阳路の机架-5</v>
          </cell>
        </row>
        <row r="1059">
          <cell r="A1059">
            <v>1056</v>
          </cell>
          <cell r="C1059">
            <v>3711001123</v>
          </cell>
          <cell r="D1059" t="str">
            <v>日照正阳路の机架-6</v>
          </cell>
        </row>
        <row r="1060">
          <cell r="A1060">
            <v>1057</v>
          </cell>
          <cell r="C1060">
            <v>3711001131</v>
          </cell>
          <cell r="D1060" t="str">
            <v>日照正阳路の机架-7</v>
          </cell>
        </row>
        <row r="1061">
          <cell r="A1061">
            <v>1058</v>
          </cell>
          <cell r="C1061">
            <v>3711001132</v>
          </cell>
          <cell r="D1061" t="str">
            <v>日照正阳路の机架-8</v>
          </cell>
        </row>
        <row r="1062">
          <cell r="A1062">
            <v>1059</v>
          </cell>
          <cell r="C1062">
            <v>3711001133</v>
          </cell>
          <cell r="D1062" t="str">
            <v>日照正阳路の机架-9</v>
          </cell>
        </row>
        <row r="1063">
          <cell r="A1063">
            <v>1060</v>
          </cell>
          <cell r="C1063">
            <v>3711001211</v>
          </cell>
          <cell r="D1063" t="str">
            <v>日照正阳路の机架-10</v>
          </cell>
        </row>
        <row r="1064">
          <cell r="A1064">
            <v>1061</v>
          </cell>
          <cell r="C1064">
            <v>3711001212</v>
          </cell>
          <cell r="D1064" t="str">
            <v>日照正阳路の机架-11</v>
          </cell>
        </row>
        <row r="1065">
          <cell r="A1065">
            <v>1062</v>
          </cell>
          <cell r="C1065">
            <v>3711001213</v>
          </cell>
          <cell r="D1065" t="str">
            <v>日照正阳路の机架-12</v>
          </cell>
        </row>
        <row r="1066">
          <cell r="A1066">
            <v>1063</v>
          </cell>
          <cell r="C1066">
            <v>3711001221</v>
          </cell>
          <cell r="D1066" t="str">
            <v>日照正阳路の机架-13</v>
          </cell>
        </row>
        <row r="1067">
          <cell r="A1067">
            <v>1064</v>
          </cell>
          <cell r="C1067">
            <v>3711001222</v>
          </cell>
          <cell r="D1067" t="str">
            <v>日照正阳路の机架-14</v>
          </cell>
        </row>
        <row r="1068">
          <cell r="A1068">
            <v>1065</v>
          </cell>
          <cell r="C1068">
            <v>3711001223</v>
          </cell>
          <cell r="D1068" t="str">
            <v>日照正阳路の机架-15</v>
          </cell>
        </row>
        <row r="1069">
          <cell r="A1069">
            <v>1066</v>
          </cell>
          <cell r="C1069">
            <v>3711001231</v>
          </cell>
          <cell r="D1069" t="str">
            <v>日照正阳路の机架-16</v>
          </cell>
        </row>
        <row r="1070">
          <cell r="A1070">
            <v>1067</v>
          </cell>
          <cell r="C1070">
            <v>3711001232</v>
          </cell>
          <cell r="D1070" t="str">
            <v>日照正阳路の机架-17</v>
          </cell>
        </row>
        <row r="1071">
          <cell r="A1071">
            <v>1068</v>
          </cell>
          <cell r="C1071">
            <v>3711001233</v>
          </cell>
          <cell r="D1071" t="str">
            <v>日照正阳路の机架-18</v>
          </cell>
        </row>
        <row r="1072">
          <cell r="A1072">
            <v>1069</v>
          </cell>
          <cell r="C1072">
            <v>3711001311</v>
          </cell>
          <cell r="D1072" t="str">
            <v>日照正阳路の机架-19</v>
          </cell>
        </row>
        <row r="1073">
          <cell r="A1073">
            <v>1070</v>
          </cell>
          <cell r="C1073">
            <v>3711001312</v>
          </cell>
          <cell r="D1073" t="str">
            <v>日照正阳路の机架-20</v>
          </cell>
        </row>
        <row r="1074">
          <cell r="A1074">
            <v>1071</v>
          </cell>
          <cell r="C1074">
            <v>3711001313</v>
          </cell>
          <cell r="D1074" t="str">
            <v>日照正阳路の机架-21</v>
          </cell>
        </row>
        <row r="1075">
          <cell r="A1075">
            <v>1072</v>
          </cell>
          <cell r="C1075">
            <v>3711001321</v>
          </cell>
          <cell r="D1075" t="str">
            <v>日照正阳路の机架-22</v>
          </cell>
        </row>
        <row r="1076">
          <cell r="A1076">
            <v>1073</v>
          </cell>
          <cell r="C1076">
            <v>3711001322</v>
          </cell>
          <cell r="D1076" t="str">
            <v>日照正阳路の机架-23</v>
          </cell>
        </row>
        <row r="1077">
          <cell r="A1077">
            <v>1074</v>
          </cell>
          <cell r="C1077">
            <v>3711001323</v>
          </cell>
          <cell r="D1077" t="str">
            <v>日照正阳路の机架-24</v>
          </cell>
        </row>
        <row r="1078">
          <cell r="A1078">
            <v>1075</v>
          </cell>
          <cell r="C1078">
            <v>3711002111</v>
          </cell>
          <cell r="D1078" t="str">
            <v>日照海滨五路の机架-1</v>
          </cell>
        </row>
        <row r="1079">
          <cell r="A1079">
            <v>1076</v>
          </cell>
          <cell r="C1079">
            <v>3711002112</v>
          </cell>
          <cell r="D1079" t="str">
            <v>日照海滨五路の机架-2</v>
          </cell>
        </row>
        <row r="1080">
          <cell r="A1080">
            <v>1077</v>
          </cell>
          <cell r="C1080">
            <v>3711002113</v>
          </cell>
          <cell r="D1080" t="str">
            <v>日照海滨五路の机架-3</v>
          </cell>
        </row>
        <row r="1081">
          <cell r="A1081">
            <v>1078</v>
          </cell>
          <cell r="C1081">
            <v>3711002121</v>
          </cell>
          <cell r="D1081" t="str">
            <v>日照海滨五路の机架-4</v>
          </cell>
        </row>
        <row r="1082">
          <cell r="A1082">
            <v>1079</v>
          </cell>
          <cell r="C1082">
            <v>3711002122</v>
          </cell>
          <cell r="D1082" t="str">
            <v>日照海滨五路の机架-5</v>
          </cell>
        </row>
        <row r="1083">
          <cell r="A1083">
            <v>1080</v>
          </cell>
          <cell r="C1083">
            <v>3711002123</v>
          </cell>
          <cell r="D1083" t="str">
            <v>日照海滨五路の机架-6</v>
          </cell>
        </row>
        <row r="1084">
          <cell r="A1084">
            <v>1081</v>
          </cell>
          <cell r="C1084">
            <v>3711002131</v>
          </cell>
          <cell r="D1084" t="str">
            <v>日照海滨五路の机架-7</v>
          </cell>
        </row>
        <row r="1085">
          <cell r="A1085">
            <v>1082</v>
          </cell>
          <cell r="C1085">
            <v>3711002132</v>
          </cell>
          <cell r="D1085" t="str">
            <v>日照海滨五路の机架-8</v>
          </cell>
        </row>
        <row r="1086">
          <cell r="A1086">
            <v>1083</v>
          </cell>
          <cell r="C1086">
            <v>3711002133</v>
          </cell>
          <cell r="D1086" t="str">
            <v>日照海滨五路の机架-9</v>
          </cell>
        </row>
        <row r="1087">
          <cell r="A1087">
            <v>1084</v>
          </cell>
          <cell r="C1087">
            <v>3711003111</v>
          </cell>
          <cell r="D1087" t="str">
            <v>莒县振兴路の机架-1</v>
          </cell>
        </row>
        <row r="1088">
          <cell r="A1088">
            <v>1085</v>
          </cell>
          <cell r="C1088">
            <v>3711003112</v>
          </cell>
          <cell r="D1088" t="str">
            <v>莒县振兴路の机架-2</v>
          </cell>
        </row>
        <row r="1089">
          <cell r="A1089">
            <v>1086</v>
          </cell>
          <cell r="C1089">
            <v>3711003113</v>
          </cell>
          <cell r="D1089" t="str">
            <v>莒县振兴路の机架-3</v>
          </cell>
        </row>
        <row r="1090">
          <cell r="A1090">
            <v>1087</v>
          </cell>
          <cell r="C1090">
            <v>3711003121</v>
          </cell>
          <cell r="D1090" t="str">
            <v>莒县振兴路の机架-4</v>
          </cell>
        </row>
        <row r="1091">
          <cell r="A1091">
            <v>1088</v>
          </cell>
          <cell r="C1091">
            <v>3711003122</v>
          </cell>
          <cell r="D1091" t="str">
            <v>莒县振兴路の机架-5</v>
          </cell>
        </row>
        <row r="1092">
          <cell r="A1092">
            <v>1089</v>
          </cell>
          <cell r="C1092">
            <v>3711003123</v>
          </cell>
          <cell r="D1092" t="str">
            <v>莒县振兴路の机架-6</v>
          </cell>
        </row>
        <row r="1093">
          <cell r="A1093">
            <v>1090</v>
          </cell>
          <cell r="C1093">
            <v>3711003131</v>
          </cell>
          <cell r="D1093" t="str">
            <v>莒县振兴路の机架-7</v>
          </cell>
        </row>
        <row r="1094">
          <cell r="A1094">
            <v>1091</v>
          </cell>
          <cell r="C1094">
            <v>3711003132</v>
          </cell>
          <cell r="D1094" t="str">
            <v>莒县振兴路の机架-8</v>
          </cell>
        </row>
        <row r="1095">
          <cell r="A1095">
            <v>1092</v>
          </cell>
          <cell r="C1095">
            <v>3711003133</v>
          </cell>
          <cell r="D1095" t="str">
            <v>莒县振兴路の机架-9</v>
          </cell>
        </row>
        <row r="1096">
          <cell r="A1096">
            <v>1093</v>
          </cell>
          <cell r="C1096">
            <v>3711004111</v>
          </cell>
          <cell r="D1096" t="str">
            <v>五莲解放路の机架-1</v>
          </cell>
        </row>
        <row r="1097">
          <cell r="A1097">
            <v>1094</v>
          </cell>
          <cell r="C1097">
            <v>3711004112</v>
          </cell>
          <cell r="D1097" t="str">
            <v>五莲解放路の机架-2</v>
          </cell>
        </row>
        <row r="1098">
          <cell r="A1098">
            <v>1095</v>
          </cell>
          <cell r="C1098">
            <v>3711004113</v>
          </cell>
          <cell r="D1098" t="str">
            <v>五莲解放路の机架-3</v>
          </cell>
        </row>
        <row r="1099">
          <cell r="A1099">
            <v>1096</v>
          </cell>
          <cell r="C1099">
            <v>3711004121</v>
          </cell>
          <cell r="D1099" t="str">
            <v>五莲解放路の机架-4</v>
          </cell>
        </row>
        <row r="1100">
          <cell r="A1100">
            <v>1097</v>
          </cell>
          <cell r="C1100">
            <v>3711004122</v>
          </cell>
          <cell r="D1100" t="str">
            <v>五莲解放路の机架-5</v>
          </cell>
        </row>
        <row r="1101">
          <cell r="A1101">
            <v>1098</v>
          </cell>
          <cell r="C1101">
            <v>3711004123</v>
          </cell>
          <cell r="D1101" t="str">
            <v>五莲解放路の机架-6</v>
          </cell>
        </row>
        <row r="1102">
          <cell r="A1102">
            <v>1099</v>
          </cell>
          <cell r="C1102">
            <v>3711004131</v>
          </cell>
          <cell r="D1102" t="str">
            <v>五莲解放路の机架-7</v>
          </cell>
        </row>
        <row r="1103">
          <cell r="A1103">
            <v>1100</v>
          </cell>
          <cell r="C1103">
            <v>3711004132</v>
          </cell>
          <cell r="D1103" t="str">
            <v>五莲解放路の机架-8</v>
          </cell>
        </row>
        <row r="1104">
          <cell r="A1104">
            <v>1101</v>
          </cell>
          <cell r="C1104">
            <v>3711004133</v>
          </cell>
          <cell r="D1104" t="str">
            <v>五莲解放路の机架-9</v>
          </cell>
        </row>
        <row r="1105">
          <cell r="A1105">
            <v>1102</v>
          </cell>
          <cell r="C1105">
            <v>3716001111</v>
          </cell>
          <cell r="D1105" t="str">
            <v>滨州渤海七路の机架-1</v>
          </cell>
        </row>
        <row r="1106">
          <cell r="A1106">
            <v>1103</v>
          </cell>
          <cell r="C1106">
            <v>3716001112</v>
          </cell>
          <cell r="D1106" t="str">
            <v>滨州渤海七路の机架-2</v>
          </cell>
        </row>
        <row r="1107">
          <cell r="A1107">
            <v>1104</v>
          </cell>
          <cell r="C1107">
            <v>3716001113</v>
          </cell>
          <cell r="D1107" t="str">
            <v>滨州渤海七路の机架-3</v>
          </cell>
        </row>
        <row r="1108">
          <cell r="A1108">
            <v>1105</v>
          </cell>
          <cell r="C1108">
            <v>3716001121</v>
          </cell>
          <cell r="D1108" t="str">
            <v>滨州渤海七路の机架-4</v>
          </cell>
        </row>
        <row r="1109">
          <cell r="A1109">
            <v>1106</v>
          </cell>
          <cell r="C1109">
            <v>3716001122</v>
          </cell>
          <cell r="D1109" t="str">
            <v>滨州渤海七路の机架-5</v>
          </cell>
        </row>
        <row r="1110">
          <cell r="A1110">
            <v>1107</v>
          </cell>
          <cell r="C1110">
            <v>3716001123</v>
          </cell>
          <cell r="D1110" t="str">
            <v>滨州渤海七路の机架-6</v>
          </cell>
        </row>
        <row r="1111">
          <cell r="A1111">
            <v>1108</v>
          </cell>
          <cell r="C1111">
            <v>3716001131</v>
          </cell>
          <cell r="D1111" t="str">
            <v>滨州渤海七路の机架-7</v>
          </cell>
        </row>
        <row r="1112">
          <cell r="A1112">
            <v>1109</v>
          </cell>
          <cell r="C1112">
            <v>3716001132</v>
          </cell>
          <cell r="D1112" t="str">
            <v>滨州渤海七路の机架-8</v>
          </cell>
        </row>
        <row r="1113">
          <cell r="A1113">
            <v>1110</v>
          </cell>
          <cell r="C1113">
            <v>3716001133</v>
          </cell>
          <cell r="D1113" t="str">
            <v>滨州渤海七路の机架-9</v>
          </cell>
        </row>
        <row r="1114">
          <cell r="A1114">
            <v>1111</v>
          </cell>
          <cell r="C1114">
            <v>3716001211</v>
          </cell>
          <cell r="D1114" t="str">
            <v>滨州渤海七路の机架-10</v>
          </cell>
        </row>
        <row r="1115">
          <cell r="A1115">
            <v>1112</v>
          </cell>
          <cell r="C1115">
            <v>3716001212</v>
          </cell>
          <cell r="D1115" t="str">
            <v>滨州渤海七路の机架-11</v>
          </cell>
        </row>
        <row r="1116">
          <cell r="A1116">
            <v>1113</v>
          </cell>
          <cell r="C1116">
            <v>3716001213</v>
          </cell>
          <cell r="D1116" t="str">
            <v>滨州渤海七路の机架-12</v>
          </cell>
        </row>
        <row r="1117">
          <cell r="A1117">
            <v>1114</v>
          </cell>
          <cell r="C1117">
            <v>3716001221</v>
          </cell>
          <cell r="D1117" t="str">
            <v>滨州渤海七路の机架-13</v>
          </cell>
        </row>
        <row r="1118">
          <cell r="A1118">
            <v>1115</v>
          </cell>
          <cell r="C1118">
            <v>3716001222</v>
          </cell>
          <cell r="D1118" t="str">
            <v>滨州渤海七路の机架-14</v>
          </cell>
        </row>
        <row r="1119">
          <cell r="A1119">
            <v>1116</v>
          </cell>
          <cell r="C1119">
            <v>3716001223</v>
          </cell>
          <cell r="D1119" t="str">
            <v>滨州渤海七路の机架-15</v>
          </cell>
        </row>
        <row r="1120">
          <cell r="A1120">
            <v>1117</v>
          </cell>
          <cell r="C1120">
            <v>3716001231</v>
          </cell>
          <cell r="D1120" t="str">
            <v>滨州渤海七路の机架-16</v>
          </cell>
        </row>
        <row r="1121">
          <cell r="A1121">
            <v>1118</v>
          </cell>
          <cell r="C1121">
            <v>3716001232</v>
          </cell>
          <cell r="D1121" t="str">
            <v>滨州渤海七路の机架-17</v>
          </cell>
        </row>
        <row r="1122">
          <cell r="A1122">
            <v>1119</v>
          </cell>
          <cell r="C1122">
            <v>3716001233</v>
          </cell>
          <cell r="D1122" t="str">
            <v>滨州渤海七路の机架-18</v>
          </cell>
        </row>
        <row r="1123">
          <cell r="A1123">
            <v>1120</v>
          </cell>
          <cell r="C1123">
            <v>3716002111</v>
          </cell>
          <cell r="D1123" t="str">
            <v>滨州黄五审计局の机架-1</v>
          </cell>
        </row>
        <row r="1124">
          <cell r="A1124">
            <v>1121</v>
          </cell>
          <cell r="C1124">
            <v>3716002112</v>
          </cell>
          <cell r="D1124" t="str">
            <v>滨州黄五审计局の机架-2</v>
          </cell>
        </row>
        <row r="1125">
          <cell r="A1125">
            <v>1122</v>
          </cell>
          <cell r="C1125">
            <v>3716002113</v>
          </cell>
          <cell r="D1125" t="str">
            <v>滨州黄五审计局の机架-3</v>
          </cell>
        </row>
        <row r="1126">
          <cell r="A1126">
            <v>1123</v>
          </cell>
          <cell r="C1126">
            <v>3716002121</v>
          </cell>
          <cell r="D1126" t="str">
            <v>滨州黄五审计局の机架-4</v>
          </cell>
        </row>
        <row r="1127">
          <cell r="A1127">
            <v>1124</v>
          </cell>
          <cell r="C1127">
            <v>3716002122</v>
          </cell>
          <cell r="D1127" t="str">
            <v>滨州黄五审计局の机架-5</v>
          </cell>
        </row>
        <row r="1128">
          <cell r="A1128">
            <v>1125</v>
          </cell>
          <cell r="C1128">
            <v>3716002123</v>
          </cell>
          <cell r="D1128" t="str">
            <v>滨州黄五审计局の机架-6</v>
          </cell>
        </row>
        <row r="1129">
          <cell r="A1129">
            <v>1126</v>
          </cell>
          <cell r="C1129">
            <v>3716002131</v>
          </cell>
          <cell r="D1129" t="str">
            <v>滨州黄五审计局の机架-7</v>
          </cell>
        </row>
        <row r="1130">
          <cell r="A1130">
            <v>1127</v>
          </cell>
          <cell r="C1130">
            <v>3716002132</v>
          </cell>
          <cell r="D1130" t="str">
            <v>滨州黄五审计局の机架-8</v>
          </cell>
        </row>
        <row r="1131">
          <cell r="A1131">
            <v>1128</v>
          </cell>
          <cell r="C1131">
            <v>3716002133</v>
          </cell>
          <cell r="D1131" t="str">
            <v>滨州黄五审计局の机架-9</v>
          </cell>
        </row>
        <row r="1132">
          <cell r="A1132">
            <v>1129</v>
          </cell>
          <cell r="C1132">
            <v>3716003111</v>
          </cell>
          <cell r="D1132" t="str">
            <v>滨州黄河十路の机架-1</v>
          </cell>
        </row>
        <row r="1133">
          <cell r="A1133">
            <v>1130</v>
          </cell>
          <cell r="C1133">
            <v>3716003112</v>
          </cell>
          <cell r="D1133" t="str">
            <v>滨州黄河十路の机架-2</v>
          </cell>
        </row>
        <row r="1134">
          <cell r="A1134">
            <v>1131</v>
          </cell>
          <cell r="C1134">
            <v>3716003113</v>
          </cell>
          <cell r="D1134" t="str">
            <v>滨州黄河十路の机架-3</v>
          </cell>
        </row>
        <row r="1135">
          <cell r="A1135">
            <v>1132</v>
          </cell>
          <cell r="C1135">
            <v>3716003121</v>
          </cell>
          <cell r="D1135" t="str">
            <v>滨州黄河十路の机架-4</v>
          </cell>
        </row>
        <row r="1136">
          <cell r="A1136">
            <v>1133</v>
          </cell>
          <cell r="C1136">
            <v>3716003122</v>
          </cell>
          <cell r="D1136" t="str">
            <v>滨州黄河十路の机架-5</v>
          </cell>
        </row>
        <row r="1137">
          <cell r="A1137">
            <v>1134</v>
          </cell>
          <cell r="C1137">
            <v>3716003123</v>
          </cell>
          <cell r="D1137" t="str">
            <v>滨州黄河十路の机架-6</v>
          </cell>
        </row>
        <row r="1138">
          <cell r="A1138">
            <v>1135</v>
          </cell>
          <cell r="C1138">
            <v>3716003131</v>
          </cell>
          <cell r="D1138" t="str">
            <v>滨州黄河十路の机架-7</v>
          </cell>
        </row>
        <row r="1139">
          <cell r="A1139">
            <v>1136</v>
          </cell>
          <cell r="C1139">
            <v>3716003132</v>
          </cell>
          <cell r="D1139" t="str">
            <v>滨州黄河十路の机架-8</v>
          </cell>
        </row>
        <row r="1140">
          <cell r="A1140">
            <v>1137</v>
          </cell>
          <cell r="C1140">
            <v>3716003133</v>
          </cell>
          <cell r="D1140" t="str">
            <v>滨州黄河十路の机架-9</v>
          </cell>
        </row>
        <row r="1141">
          <cell r="A1141">
            <v>1138</v>
          </cell>
          <cell r="C1141">
            <v>3716004111</v>
          </cell>
          <cell r="D1141" t="str">
            <v>无棣中心大街の机架-1</v>
          </cell>
        </row>
        <row r="1142">
          <cell r="A1142">
            <v>1139</v>
          </cell>
          <cell r="C1142">
            <v>3716004112</v>
          </cell>
          <cell r="D1142" t="str">
            <v>无棣中心大街の机架-2</v>
          </cell>
        </row>
        <row r="1143">
          <cell r="A1143">
            <v>1140</v>
          </cell>
          <cell r="C1143">
            <v>3716004113</v>
          </cell>
          <cell r="D1143" t="str">
            <v>无棣中心大街の机架-3</v>
          </cell>
        </row>
        <row r="1144">
          <cell r="A1144">
            <v>1141</v>
          </cell>
          <cell r="C1144">
            <v>3716004121</v>
          </cell>
          <cell r="D1144" t="str">
            <v>无棣中心大街の机架-4</v>
          </cell>
        </row>
        <row r="1145">
          <cell r="A1145">
            <v>1142</v>
          </cell>
          <cell r="C1145">
            <v>3716004122</v>
          </cell>
          <cell r="D1145" t="str">
            <v>无棣中心大街の机架-5</v>
          </cell>
        </row>
        <row r="1146">
          <cell r="A1146">
            <v>1143</v>
          </cell>
          <cell r="C1146">
            <v>3716004123</v>
          </cell>
          <cell r="D1146" t="str">
            <v>无棣中心大街の机架-6</v>
          </cell>
        </row>
        <row r="1147">
          <cell r="A1147">
            <v>1144</v>
          </cell>
          <cell r="C1147">
            <v>3716004131</v>
          </cell>
          <cell r="D1147" t="str">
            <v>无棣中心大街の机架-7</v>
          </cell>
        </row>
        <row r="1148">
          <cell r="A1148">
            <v>1145</v>
          </cell>
          <cell r="C1148">
            <v>3716004132</v>
          </cell>
          <cell r="D1148" t="str">
            <v>无棣中心大街の机架-8</v>
          </cell>
        </row>
        <row r="1149">
          <cell r="A1149">
            <v>1146</v>
          </cell>
          <cell r="C1149">
            <v>3716004133</v>
          </cell>
          <cell r="D1149" t="str">
            <v>无棣中心大街の机架-9</v>
          </cell>
        </row>
        <row r="1150">
          <cell r="A1150">
            <v>1147</v>
          </cell>
          <cell r="C1150">
            <v>3716005111</v>
          </cell>
          <cell r="D1150" t="str">
            <v>阳信幸福三路の机架-1</v>
          </cell>
        </row>
        <row r="1151">
          <cell r="A1151">
            <v>1148</v>
          </cell>
          <cell r="C1151">
            <v>3716005112</v>
          </cell>
          <cell r="D1151" t="str">
            <v>阳信幸福三路の机架-2</v>
          </cell>
        </row>
        <row r="1152">
          <cell r="A1152">
            <v>1149</v>
          </cell>
          <cell r="C1152">
            <v>3716005113</v>
          </cell>
          <cell r="D1152" t="str">
            <v>阳信幸福三路の机架-3</v>
          </cell>
        </row>
        <row r="1153">
          <cell r="A1153">
            <v>1150</v>
          </cell>
          <cell r="C1153">
            <v>3716005121</v>
          </cell>
          <cell r="D1153" t="str">
            <v>阳信幸福三路の机架-4</v>
          </cell>
        </row>
        <row r="1154">
          <cell r="A1154">
            <v>1151</v>
          </cell>
          <cell r="C1154">
            <v>3716005122</v>
          </cell>
          <cell r="D1154" t="str">
            <v>阳信幸福三路の机架-5</v>
          </cell>
        </row>
        <row r="1155">
          <cell r="A1155">
            <v>1152</v>
          </cell>
          <cell r="C1155">
            <v>3716005123</v>
          </cell>
          <cell r="D1155" t="str">
            <v>阳信幸福三路の机架-6</v>
          </cell>
        </row>
        <row r="1156">
          <cell r="A1156">
            <v>1153</v>
          </cell>
          <cell r="C1156">
            <v>3716005131</v>
          </cell>
          <cell r="D1156" t="str">
            <v>阳信幸福三路の机架-7</v>
          </cell>
        </row>
        <row r="1157">
          <cell r="A1157">
            <v>1154</v>
          </cell>
          <cell r="C1157">
            <v>3716005132</v>
          </cell>
          <cell r="D1157" t="str">
            <v>阳信幸福三路の机架-8</v>
          </cell>
        </row>
        <row r="1158">
          <cell r="A1158">
            <v>1155</v>
          </cell>
          <cell r="C1158">
            <v>3716005133</v>
          </cell>
          <cell r="D1158" t="str">
            <v>阳信幸福三路の机架-9</v>
          </cell>
        </row>
        <row r="1159">
          <cell r="A1159">
            <v>1156</v>
          </cell>
          <cell r="C1159">
            <v>3716006111</v>
          </cell>
          <cell r="D1159" t="str">
            <v>惠民南门街の机架-1</v>
          </cell>
        </row>
        <row r="1160">
          <cell r="A1160">
            <v>1157</v>
          </cell>
          <cell r="C1160">
            <v>3716006112</v>
          </cell>
          <cell r="D1160" t="str">
            <v>惠民南门街の机架-2</v>
          </cell>
        </row>
        <row r="1161">
          <cell r="A1161">
            <v>1158</v>
          </cell>
          <cell r="C1161">
            <v>3716006113</v>
          </cell>
          <cell r="D1161" t="str">
            <v>惠民南门街の机架-3</v>
          </cell>
        </row>
        <row r="1162">
          <cell r="A1162">
            <v>1159</v>
          </cell>
          <cell r="C1162">
            <v>3716006121</v>
          </cell>
          <cell r="D1162" t="str">
            <v>惠民南门街の机架-4</v>
          </cell>
        </row>
        <row r="1163">
          <cell r="A1163">
            <v>1160</v>
          </cell>
          <cell r="C1163">
            <v>3716006122</v>
          </cell>
          <cell r="D1163" t="str">
            <v>惠民南门街の机架-5</v>
          </cell>
        </row>
        <row r="1164">
          <cell r="A1164">
            <v>1161</v>
          </cell>
          <cell r="C1164">
            <v>3716006123</v>
          </cell>
          <cell r="D1164" t="str">
            <v>惠民南门街の机架-6</v>
          </cell>
        </row>
        <row r="1165">
          <cell r="A1165">
            <v>1162</v>
          </cell>
          <cell r="C1165">
            <v>3716006131</v>
          </cell>
          <cell r="D1165" t="str">
            <v>惠民南门街の机架-7</v>
          </cell>
        </row>
        <row r="1166">
          <cell r="A1166">
            <v>1163</v>
          </cell>
          <cell r="C1166">
            <v>3716006132</v>
          </cell>
          <cell r="D1166" t="str">
            <v>惠民南门街の机架-8</v>
          </cell>
        </row>
        <row r="1167">
          <cell r="A1167">
            <v>1164</v>
          </cell>
          <cell r="C1167">
            <v>3716006133</v>
          </cell>
          <cell r="D1167" t="str">
            <v>惠民南门街の机架-9</v>
          </cell>
        </row>
        <row r="1168">
          <cell r="A1168">
            <v>1165</v>
          </cell>
          <cell r="C1168">
            <v>3716007111</v>
          </cell>
          <cell r="D1168" t="str">
            <v>惠民姜楼の机架-1</v>
          </cell>
        </row>
        <row r="1169">
          <cell r="A1169">
            <v>1166</v>
          </cell>
          <cell r="C1169">
            <v>3716007112</v>
          </cell>
          <cell r="D1169" t="str">
            <v>惠民姜楼の机架-2</v>
          </cell>
        </row>
        <row r="1170">
          <cell r="A1170">
            <v>1167</v>
          </cell>
          <cell r="C1170">
            <v>3716007113</v>
          </cell>
          <cell r="D1170" t="str">
            <v>惠民姜楼の机架-3</v>
          </cell>
        </row>
        <row r="1171">
          <cell r="A1171">
            <v>1168</v>
          </cell>
          <cell r="C1171">
            <v>3716007121</v>
          </cell>
          <cell r="D1171" t="str">
            <v>惠民姜楼の机架-4</v>
          </cell>
        </row>
        <row r="1172">
          <cell r="A1172">
            <v>1169</v>
          </cell>
          <cell r="C1172">
            <v>3716007122</v>
          </cell>
          <cell r="D1172" t="str">
            <v>惠民姜楼の机架-5</v>
          </cell>
        </row>
        <row r="1173">
          <cell r="A1173">
            <v>1170</v>
          </cell>
          <cell r="C1173">
            <v>3716007123</v>
          </cell>
          <cell r="D1173" t="str">
            <v>惠民姜楼の机架-6</v>
          </cell>
        </row>
        <row r="1174">
          <cell r="A1174">
            <v>1171</v>
          </cell>
          <cell r="C1174">
            <v>3716007131</v>
          </cell>
          <cell r="D1174" t="str">
            <v>惠民姜楼の机架-7</v>
          </cell>
        </row>
        <row r="1175">
          <cell r="A1175">
            <v>1172</v>
          </cell>
          <cell r="C1175">
            <v>3716007132</v>
          </cell>
          <cell r="D1175" t="str">
            <v>惠民姜楼の机架-8</v>
          </cell>
        </row>
        <row r="1176">
          <cell r="A1176">
            <v>1173</v>
          </cell>
          <cell r="C1176">
            <v>3716007133</v>
          </cell>
          <cell r="D1176" t="str">
            <v>惠民姜楼の机架-9</v>
          </cell>
        </row>
        <row r="1177">
          <cell r="A1177">
            <v>1174</v>
          </cell>
          <cell r="C1177">
            <v>3716008111</v>
          </cell>
          <cell r="D1177" t="str">
            <v>邹平老局の机架-1</v>
          </cell>
        </row>
        <row r="1178">
          <cell r="A1178">
            <v>1175</v>
          </cell>
          <cell r="C1178">
            <v>3716008112</v>
          </cell>
          <cell r="D1178" t="str">
            <v>邹平老局の机架-2</v>
          </cell>
        </row>
        <row r="1179">
          <cell r="A1179">
            <v>1176</v>
          </cell>
          <cell r="C1179">
            <v>3716008113</v>
          </cell>
          <cell r="D1179" t="str">
            <v>邹平老局の机架-3</v>
          </cell>
        </row>
        <row r="1180">
          <cell r="A1180">
            <v>1177</v>
          </cell>
          <cell r="C1180">
            <v>3716008121</v>
          </cell>
          <cell r="D1180" t="str">
            <v>邹平老局の机架-4</v>
          </cell>
        </row>
        <row r="1181">
          <cell r="A1181">
            <v>1178</v>
          </cell>
          <cell r="C1181">
            <v>3716008122</v>
          </cell>
          <cell r="D1181" t="str">
            <v>邹平老局の机架-5</v>
          </cell>
        </row>
        <row r="1182">
          <cell r="A1182">
            <v>1179</v>
          </cell>
          <cell r="C1182">
            <v>3716008123</v>
          </cell>
          <cell r="D1182" t="str">
            <v>邹平老局の机架-6</v>
          </cell>
        </row>
        <row r="1183">
          <cell r="A1183">
            <v>1180</v>
          </cell>
          <cell r="C1183">
            <v>3716008131</v>
          </cell>
          <cell r="D1183" t="str">
            <v>邹平老局の机架-7</v>
          </cell>
        </row>
        <row r="1184">
          <cell r="A1184">
            <v>1181</v>
          </cell>
          <cell r="C1184">
            <v>3716008132</v>
          </cell>
          <cell r="D1184" t="str">
            <v>邹平老局の机架-8</v>
          </cell>
        </row>
        <row r="1185">
          <cell r="A1185">
            <v>1182</v>
          </cell>
          <cell r="C1185">
            <v>3716008133</v>
          </cell>
          <cell r="D1185" t="str">
            <v>邹平老局の机架-9</v>
          </cell>
        </row>
        <row r="1186">
          <cell r="A1186">
            <v>1183</v>
          </cell>
          <cell r="C1186">
            <v>3716009111</v>
          </cell>
          <cell r="D1186" t="str">
            <v>博兴安柴の机架-1</v>
          </cell>
        </row>
        <row r="1187">
          <cell r="A1187">
            <v>1184</v>
          </cell>
          <cell r="C1187">
            <v>3716009112</v>
          </cell>
          <cell r="D1187" t="str">
            <v>博兴安柴の机架-2</v>
          </cell>
        </row>
        <row r="1188">
          <cell r="A1188">
            <v>1185</v>
          </cell>
          <cell r="C1188">
            <v>3716009113</v>
          </cell>
          <cell r="D1188" t="str">
            <v>博兴安柴の机架-3</v>
          </cell>
        </row>
        <row r="1189">
          <cell r="A1189">
            <v>1186</v>
          </cell>
          <cell r="C1189">
            <v>3716009121</v>
          </cell>
          <cell r="D1189" t="str">
            <v>博兴安柴の机架-4</v>
          </cell>
        </row>
        <row r="1190">
          <cell r="A1190">
            <v>1187</v>
          </cell>
          <cell r="C1190">
            <v>3716009122</v>
          </cell>
          <cell r="D1190" t="str">
            <v>博兴安柴の机架-5</v>
          </cell>
        </row>
        <row r="1191">
          <cell r="A1191">
            <v>1188</v>
          </cell>
          <cell r="C1191">
            <v>3716009123</v>
          </cell>
          <cell r="D1191" t="str">
            <v>博兴安柴の机架-6</v>
          </cell>
        </row>
        <row r="1192">
          <cell r="A1192">
            <v>1189</v>
          </cell>
          <cell r="C1192">
            <v>3716009131</v>
          </cell>
          <cell r="D1192" t="str">
            <v>博兴安柴の机架-7</v>
          </cell>
        </row>
        <row r="1193">
          <cell r="A1193">
            <v>1190</v>
          </cell>
          <cell r="C1193">
            <v>3716009132</v>
          </cell>
          <cell r="D1193" t="str">
            <v>博兴安柴の机架-8</v>
          </cell>
        </row>
        <row r="1194">
          <cell r="A1194">
            <v>1191</v>
          </cell>
          <cell r="C1194">
            <v>3716009133</v>
          </cell>
          <cell r="D1194" t="str">
            <v>博兴安柴の机架-9</v>
          </cell>
        </row>
        <row r="1195">
          <cell r="A1195">
            <v>1192</v>
          </cell>
          <cell r="C1195">
            <v>3716010111</v>
          </cell>
          <cell r="D1195" t="str">
            <v>博兴老局の机架-1</v>
          </cell>
        </row>
        <row r="1196">
          <cell r="A1196">
            <v>1193</v>
          </cell>
          <cell r="C1196">
            <v>3716010112</v>
          </cell>
          <cell r="D1196" t="str">
            <v>博兴老局の机架-2</v>
          </cell>
        </row>
        <row r="1197">
          <cell r="A1197">
            <v>1194</v>
          </cell>
          <cell r="C1197">
            <v>3716010113</v>
          </cell>
          <cell r="D1197" t="str">
            <v>博兴老局の机架-3</v>
          </cell>
        </row>
        <row r="1198">
          <cell r="A1198">
            <v>1195</v>
          </cell>
          <cell r="C1198">
            <v>3716010121</v>
          </cell>
          <cell r="D1198" t="str">
            <v>博兴老局の机架-4</v>
          </cell>
        </row>
        <row r="1199">
          <cell r="A1199">
            <v>1196</v>
          </cell>
          <cell r="C1199">
            <v>3716010122</v>
          </cell>
          <cell r="D1199" t="str">
            <v>博兴老局の机架-5</v>
          </cell>
        </row>
        <row r="1200">
          <cell r="A1200">
            <v>1197</v>
          </cell>
          <cell r="C1200">
            <v>3716010123</v>
          </cell>
          <cell r="D1200" t="str">
            <v>博兴老局の机架-6</v>
          </cell>
        </row>
        <row r="1201">
          <cell r="A1201">
            <v>1198</v>
          </cell>
          <cell r="C1201">
            <v>3716010131</v>
          </cell>
          <cell r="D1201" t="str">
            <v>博兴老局の机架-7</v>
          </cell>
        </row>
        <row r="1202">
          <cell r="A1202">
            <v>1199</v>
          </cell>
          <cell r="C1202">
            <v>3716010132</v>
          </cell>
          <cell r="D1202" t="str">
            <v>博兴老局の机架-8</v>
          </cell>
        </row>
        <row r="1203">
          <cell r="A1203">
            <v>1200</v>
          </cell>
          <cell r="C1203">
            <v>3716010133</v>
          </cell>
          <cell r="D1203" t="str">
            <v>博兴老局の机架-9</v>
          </cell>
        </row>
        <row r="1204">
          <cell r="A1204">
            <v>1201</v>
          </cell>
          <cell r="C1204">
            <v>3716011111</v>
          </cell>
          <cell r="D1204" t="str">
            <v>滨小营镇の机架-1</v>
          </cell>
        </row>
        <row r="1205">
          <cell r="A1205">
            <v>1202</v>
          </cell>
          <cell r="C1205">
            <v>3716011112</v>
          </cell>
          <cell r="D1205" t="str">
            <v>滨小营镇の机架-2</v>
          </cell>
        </row>
        <row r="1206">
          <cell r="A1206">
            <v>1203</v>
          </cell>
          <cell r="C1206">
            <v>3716011113</v>
          </cell>
          <cell r="D1206" t="str">
            <v>滨小营镇の机架-3</v>
          </cell>
        </row>
        <row r="1207">
          <cell r="A1207">
            <v>1204</v>
          </cell>
          <cell r="C1207">
            <v>3716011121</v>
          </cell>
          <cell r="D1207" t="str">
            <v>滨小营镇の机架-4</v>
          </cell>
        </row>
        <row r="1208">
          <cell r="A1208">
            <v>1205</v>
          </cell>
          <cell r="C1208">
            <v>3716011122</v>
          </cell>
          <cell r="D1208" t="str">
            <v>滨小营镇の机架-5</v>
          </cell>
        </row>
        <row r="1209">
          <cell r="A1209">
            <v>1206</v>
          </cell>
          <cell r="C1209">
            <v>3716011123</v>
          </cell>
          <cell r="D1209" t="str">
            <v>滨小营镇の机架-6</v>
          </cell>
        </row>
        <row r="1210">
          <cell r="A1210">
            <v>1207</v>
          </cell>
          <cell r="C1210">
            <v>3716011131</v>
          </cell>
          <cell r="D1210" t="str">
            <v>滨小营镇の机架-7</v>
          </cell>
        </row>
        <row r="1211">
          <cell r="A1211">
            <v>1208</v>
          </cell>
          <cell r="C1211">
            <v>3716011132</v>
          </cell>
          <cell r="D1211" t="str">
            <v>滨小营镇の机架-8</v>
          </cell>
        </row>
        <row r="1212">
          <cell r="A1212">
            <v>1209</v>
          </cell>
          <cell r="C1212">
            <v>3716011133</v>
          </cell>
          <cell r="D1212" t="str">
            <v>滨小营镇の机架-9</v>
          </cell>
        </row>
        <row r="1213">
          <cell r="A1213">
            <v>1210</v>
          </cell>
          <cell r="C1213">
            <v>3714001111</v>
          </cell>
          <cell r="D1213" t="str">
            <v>德州共青团路の机架-1</v>
          </cell>
        </row>
        <row r="1214">
          <cell r="A1214">
            <v>1211</v>
          </cell>
          <cell r="C1214">
            <v>3714001112</v>
          </cell>
          <cell r="D1214" t="str">
            <v>德州共青团路の机架-2</v>
          </cell>
        </row>
        <row r="1215">
          <cell r="A1215">
            <v>1212</v>
          </cell>
          <cell r="C1215">
            <v>3714001113</v>
          </cell>
          <cell r="D1215" t="str">
            <v>德州共青团路の机架-3</v>
          </cell>
        </row>
        <row r="1216">
          <cell r="A1216">
            <v>1213</v>
          </cell>
          <cell r="C1216">
            <v>3714001121</v>
          </cell>
          <cell r="D1216" t="str">
            <v>德州共青团路の机架-4</v>
          </cell>
        </row>
        <row r="1217">
          <cell r="A1217">
            <v>1214</v>
          </cell>
          <cell r="C1217">
            <v>3714001122</v>
          </cell>
          <cell r="D1217" t="str">
            <v>德州共青团路の机架-5</v>
          </cell>
        </row>
        <row r="1218">
          <cell r="A1218">
            <v>1215</v>
          </cell>
          <cell r="C1218">
            <v>3714001123</v>
          </cell>
          <cell r="D1218" t="str">
            <v>德州共青团路の机架-6</v>
          </cell>
        </row>
        <row r="1219">
          <cell r="A1219">
            <v>1216</v>
          </cell>
          <cell r="C1219">
            <v>3714001131</v>
          </cell>
          <cell r="D1219" t="str">
            <v>德州共青团路の机架-7</v>
          </cell>
        </row>
        <row r="1220">
          <cell r="A1220">
            <v>1217</v>
          </cell>
          <cell r="C1220">
            <v>3714001132</v>
          </cell>
          <cell r="D1220" t="str">
            <v>德州共青团路の机架-8</v>
          </cell>
        </row>
        <row r="1221">
          <cell r="A1221">
            <v>1218</v>
          </cell>
          <cell r="C1221">
            <v>3714001133</v>
          </cell>
          <cell r="D1221" t="str">
            <v>德州共青团路の机架-9</v>
          </cell>
        </row>
        <row r="1222">
          <cell r="A1222">
            <v>1219</v>
          </cell>
          <cell r="C1222">
            <v>3714001211</v>
          </cell>
          <cell r="D1222" t="str">
            <v>德州共青团路の机架-10</v>
          </cell>
        </row>
        <row r="1223">
          <cell r="A1223">
            <v>1220</v>
          </cell>
          <cell r="C1223">
            <v>3714001212</v>
          </cell>
          <cell r="D1223" t="str">
            <v>德州共青团路の机架-11</v>
          </cell>
        </row>
        <row r="1224">
          <cell r="A1224">
            <v>1221</v>
          </cell>
          <cell r="C1224">
            <v>3714001213</v>
          </cell>
          <cell r="D1224" t="str">
            <v>德州共青团路の机架-12</v>
          </cell>
        </row>
        <row r="1225">
          <cell r="A1225">
            <v>1222</v>
          </cell>
          <cell r="C1225">
            <v>3714001221</v>
          </cell>
          <cell r="D1225" t="str">
            <v>德州共青团路の机架-13</v>
          </cell>
        </row>
        <row r="1226">
          <cell r="A1226">
            <v>1223</v>
          </cell>
          <cell r="C1226">
            <v>3714001222</v>
          </cell>
          <cell r="D1226" t="str">
            <v>德州共青团路の机架-14</v>
          </cell>
        </row>
        <row r="1227">
          <cell r="A1227">
            <v>1224</v>
          </cell>
          <cell r="C1227">
            <v>3714001223</v>
          </cell>
          <cell r="D1227" t="str">
            <v>德州共青团路の机架-15</v>
          </cell>
        </row>
        <row r="1228">
          <cell r="A1228">
            <v>1225</v>
          </cell>
          <cell r="C1228">
            <v>3714001231</v>
          </cell>
          <cell r="D1228" t="str">
            <v>德州共青团路の机架-16</v>
          </cell>
        </row>
        <row r="1229">
          <cell r="A1229">
            <v>1226</v>
          </cell>
          <cell r="C1229">
            <v>3714001232</v>
          </cell>
          <cell r="D1229" t="str">
            <v>德州共青团路の机架-17</v>
          </cell>
        </row>
        <row r="1230">
          <cell r="A1230">
            <v>1227</v>
          </cell>
          <cell r="C1230">
            <v>3714001233</v>
          </cell>
          <cell r="D1230" t="str">
            <v>德州共青团路の机架-18</v>
          </cell>
        </row>
        <row r="1231">
          <cell r="A1231">
            <v>1228</v>
          </cell>
          <cell r="C1231">
            <v>3714002111</v>
          </cell>
          <cell r="D1231" t="str">
            <v>德州湖滨南路の机架-1</v>
          </cell>
        </row>
        <row r="1232">
          <cell r="A1232">
            <v>1229</v>
          </cell>
          <cell r="C1232">
            <v>3714002112</v>
          </cell>
          <cell r="D1232" t="str">
            <v>德州湖滨南路の机架-2</v>
          </cell>
        </row>
        <row r="1233">
          <cell r="A1233">
            <v>1230</v>
          </cell>
          <cell r="C1233">
            <v>3714002113</v>
          </cell>
          <cell r="D1233" t="str">
            <v>德州湖滨南路の机架-3</v>
          </cell>
        </row>
        <row r="1234">
          <cell r="A1234">
            <v>1231</v>
          </cell>
          <cell r="C1234">
            <v>3714002121</v>
          </cell>
          <cell r="D1234" t="str">
            <v>德州湖滨南路の机架-4</v>
          </cell>
        </row>
        <row r="1235">
          <cell r="A1235">
            <v>1232</v>
          </cell>
          <cell r="C1235">
            <v>3714002122</v>
          </cell>
          <cell r="D1235" t="str">
            <v>德州湖滨南路の机架-5</v>
          </cell>
        </row>
        <row r="1236">
          <cell r="A1236">
            <v>1233</v>
          </cell>
          <cell r="C1236">
            <v>3714002123</v>
          </cell>
          <cell r="D1236" t="str">
            <v>德州湖滨南路の机架-6</v>
          </cell>
        </row>
        <row r="1237">
          <cell r="A1237">
            <v>1234</v>
          </cell>
          <cell r="C1237">
            <v>3714002131</v>
          </cell>
          <cell r="D1237" t="str">
            <v>德州湖滨南路の机架-7</v>
          </cell>
        </row>
        <row r="1238">
          <cell r="A1238">
            <v>1235</v>
          </cell>
          <cell r="C1238">
            <v>3714002132</v>
          </cell>
          <cell r="D1238" t="str">
            <v>德州湖滨南路の机架-8</v>
          </cell>
        </row>
        <row r="1239">
          <cell r="A1239">
            <v>1236</v>
          </cell>
          <cell r="C1239">
            <v>3714002133</v>
          </cell>
          <cell r="D1239" t="str">
            <v>德州湖滨南路の机架-9</v>
          </cell>
        </row>
        <row r="1240">
          <cell r="A1240">
            <v>1237</v>
          </cell>
          <cell r="C1240">
            <v>3714003111</v>
          </cell>
          <cell r="D1240" t="str">
            <v>德州东风中路の机架-1</v>
          </cell>
        </row>
        <row r="1241">
          <cell r="A1241">
            <v>1238</v>
          </cell>
          <cell r="C1241">
            <v>3714003112</v>
          </cell>
          <cell r="D1241" t="str">
            <v>德州东风中路の机架-2</v>
          </cell>
        </row>
        <row r="1242">
          <cell r="A1242">
            <v>1239</v>
          </cell>
          <cell r="C1242">
            <v>3714003113</v>
          </cell>
          <cell r="D1242" t="str">
            <v>德州东风中路の机架-3</v>
          </cell>
        </row>
        <row r="1243">
          <cell r="A1243">
            <v>1240</v>
          </cell>
          <cell r="C1243">
            <v>3714003121</v>
          </cell>
          <cell r="D1243" t="str">
            <v>德州东风中路の机架-4</v>
          </cell>
        </row>
        <row r="1244">
          <cell r="A1244">
            <v>1241</v>
          </cell>
          <cell r="C1244">
            <v>3714003122</v>
          </cell>
          <cell r="D1244" t="str">
            <v>德州东风中路の机架-5</v>
          </cell>
        </row>
        <row r="1245">
          <cell r="A1245">
            <v>1242</v>
          </cell>
          <cell r="C1245">
            <v>3714003123</v>
          </cell>
          <cell r="D1245" t="str">
            <v>德州东风中路の机架-6</v>
          </cell>
        </row>
        <row r="1246">
          <cell r="A1246">
            <v>1243</v>
          </cell>
          <cell r="C1246">
            <v>3714003131</v>
          </cell>
          <cell r="D1246" t="str">
            <v>德州东风中路の机架-7</v>
          </cell>
        </row>
        <row r="1247">
          <cell r="A1247">
            <v>1244</v>
          </cell>
          <cell r="C1247">
            <v>3714003132</v>
          </cell>
          <cell r="D1247" t="str">
            <v>德州东风中路の机架-8</v>
          </cell>
        </row>
        <row r="1248">
          <cell r="A1248">
            <v>1245</v>
          </cell>
          <cell r="C1248">
            <v>3714003133</v>
          </cell>
          <cell r="D1248" t="str">
            <v>德州东风中路の机架-9</v>
          </cell>
        </row>
        <row r="1249">
          <cell r="A1249">
            <v>1246</v>
          </cell>
          <cell r="C1249">
            <v>3714004111</v>
          </cell>
          <cell r="D1249" t="str">
            <v>德州解放北路の机架-1</v>
          </cell>
        </row>
        <row r="1250">
          <cell r="A1250">
            <v>1247</v>
          </cell>
          <cell r="C1250">
            <v>3714004112</v>
          </cell>
          <cell r="D1250" t="str">
            <v>德州解放北路の机架-2</v>
          </cell>
        </row>
        <row r="1251">
          <cell r="A1251">
            <v>1248</v>
          </cell>
          <cell r="C1251">
            <v>3714004113</v>
          </cell>
          <cell r="D1251" t="str">
            <v>德州解放北路の机架-3</v>
          </cell>
        </row>
        <row r="1252">
          <cell r="A1252">
            <v>1249</v>
          </cell>
          <cell r="C1252">
            <v>3714004121</v>
          </cell>
          <cell r="D1252" t="str">
            <v>德州解放北路の机架-4</v>
          </cell>
        </row>
        <row r="1253">
          <cell r="A1253">
            <v>1250</v>
          </cell>
          <cell r="C1253">
            <v>3714004122</v>
          </cell>
          <cell r="D1253" t="str">
            <v>德州解放北路の机架-5</v>
          </cell>
        </row>
        <row r="1254">
          <cell r="A1254">
            <v>1251</v>
          </cell>
          <cell r="C1254">
            <v>3714004123</v>
          </cell>
          <cell r="D1254" t="str">
            <v>德州解放北路の机架-6</v>
          </cell>
        </row>
        <row r="1255">
          <cell r="A1255">
            <v>1252</v>
          </cell>
          <cell r="C1255">
            <v>3714004131</v>
          </cell>
          <cell r="D1255" t="str">
            <v>德州解放北路の机架-7</v>
          </cell>
        </row>
        <row r="1256">
          <cell r="A1256">
            <v>1253</v>
          </cell>
          <cell r="C1256">
            <v>3714004132</v>
          </cell>
          <cell r="D1256" t="str">
            <v>德州解放北路の机架-8</v>
          </cell>
        </row>
        <row r="1257">
          <cell r="A1257">
            <v>1254</v>
          </cell>
          <cell r="C1257">
            <v>3714004133</v>
          </cell>
          <cell r="D1257" t="str">
            <v>德州解放北路の机架-9</v>
          </cell>
        </row>
        <row r="1258">
          <cell r="A1258">
            <v>1255</v>
          </cell>
          <cell r="C1258">
            <v>3714005111</v>
          </cell>
          <cell r="D1258" t="str">
            <v>乐陵兴隆南大街の机架-1</v>
          </cell>
        </row>
        <row r="1259">
          <cell r="A1259">
            <v>1256</v>
          </cell>
          <cell r="C1259">
            <v>3714005112</v>
          </cell>
          <cell r="D1259" t="str">
            <v>乐陵兴隆南大街の机架-2</v>
          </cell>
        </row>
        <row r="1260">
          <cell r="A1260">
            <v>1257</v>
          </cell>
          <cell r="C1260">
            <v>3714005113</v>
          </cell>
          <cell r="D1260" t="str">
            <v>乐陵兴隆南大街の机架-3</v>
          </cell>
        </row>
        <row r="1261">
          <cell r="A1261">
            <v>1258</v>
          </cell>
          <cell r="C1261">
            <v>3714005121</v>
          </cell>
          <cell r="D1261" t="str">
            <v>乐陵兴隆南大街の机架-4</v>
          </cell>
        </row>
        <row r="1262">
          <cell r="A1262">
            <v>1259</v>
          </cell>
          <cell r="C1262">
            <v>3714005122</v>
          </cell>
          <cell r="D1262" t="str">
            <v>乐陵兴隆南大街の机架-5</v>
          </cell>
        </row>
        <row r="1263">
          <cell r="A1263">
            <v>1260</v>
          </cell>
          <cell r="C1263">
            <v>3714005123</v>
          </cell>
          <cell r="D1263" t="str">
            <v>乐陵兴隆南大街の机架-6</v>
          </cell>
        </row>
        <row r="1264">
          <cell r="A1264">
            <v>1261</v>
          </cell>
          <cell r="C1264">
            <v>3714005131</v>
          </cell>
          <cell r="D1264" t="str">
            <v>乐陵兴隆南大街の机架-7</v>
          </cell>
        </row>
        <row r="1265">
          <cell r="A1265">
            <v>1262</v>
          </cell>
          <cell r="C1265">
            <v>3714005132</v>
          </cell>
          <cell r="D1265" t="str">
            <v>乐陵兴隆南大街の机架-8</v>
          </cell>
        </row>
        <row r="1266">
          <cell r="A1266">
            <v>1263</v>
          </cell>
          <cell r="C1266">
            <v>3714005133</v>
          </cell>
          <cell r="D1266" t="str">
            <v>乐陵兴隆南大街の机架-9</v>
          </cell>
        </row>
        <row r="1267">
          <cell r="A1267">
            <v>1264</v>
          </cell>
          <cell r="C1267">
            <v>3714006111</v>
          </cell>
          <cell r="D1267" t="str">
            <v>庆云新华路の机架-1</v>
          </cell>
        </row>
        <row r="1268">
          <cell r="A1268">
            <v>1265</v>
          </cell>
          <cell r="C1268">
            <v>3714006112</v>
          </cell>
          <cell r="D1268" t="str">
            <v>庆云新华路の机架-2</v>
          </cell>
        </row>
        <row r="1269">
          <cell r="A1269">
            <v>1266</v>
          </cell>
          <cell r="C1269">
            <v>3714006113</v>
          </cell>
          <cell r="D1269" t="str">
            <v>庆云新华路の机架-3</v>
          </cell>
        </row>
        <row r="1270">
          <cell r="A1270">
            <v>1267</v>
          </cell>
          <cell r="C1270">
            <v>3714006121</v>
          </cell>
          <cell r="D1270" t="str">
            <v>庆云新华路の机架-4</v>
          </cell>
        </row>
        <row r="1271">
          <cell r="A1271">
            <v>1268</v>
          </cell>
          <cell r="C1271">
            <v>3714006122</v>
          </cell>
          <cell r="D1271" t="str">
            <v>庆云新华路の机架-5</v>
          </cell>
        </row>
        <row r="1272">
          <cell r="A1272">
            <v>1269</v>
          </cell>
          <cell r="C1272">
            <v>3714006123</v>
          </cell>
          <cell r="D1272" t="str">
            <v>庆云新华路の机架-6</v>
          </cell>
        </row>
        <row r="1273">
          <cell r="A1273">
            <v>1270</v>
          </cell>
          <cell r="C1273">
            <v>3714006131</v>
          </cell>
          <cell r="D1273" t="str">
            <v>庆云新华路の机架-7</v>
          </cell>
        </row>
        <row r="1274">
          <cell r="A1274">
            <v>1271</v>
          </cell>
          <cell r="C1274">
            <v>3714006132</v>
          </cell>
          <cell r="D1274" t="str">
            <v>庆云新华路の机架-8</v>
          </cell>
        </row>
        <row r="1275">
          <cell r="A1275">
            <v>1272</v>
          </cell>
          <cell r="C1275">
            <v>3714006133</v>
          </cell>
          <cell r="D1275" t="str">
            <v>庆云新华路の机架-9</v>
          </cell>
        </row>
        <row r="1276">
          <cell r="A1276">
            <v>1273</v>
          </cell>
          <cell r="C1276">
            <v>3714007111</v>
          </cell>
          <cell r="D1276" t="str">
            <v>临邑临盘の机架-1</v>
          </cell>
        </row>
        <row r="1277">
          <cell r="A1277">
            <v>1274</v>
          </cell>
          <cell r="C1277">
            <v>3714007112</v>
          </cell>
          <cell r="D1277" t="str">
            <v>临邑临盘の机架-2</v>
          </cell>
        </row>
        <row r="1278">
          <cell r="A1278">
            <v>1275</v>
          </cell>
          <cell r="C1278">
            <v>3714007113</v>
          </cell>
          <cell r="D1278" t="str">
            <v>临邑临盘の机架-3</v>
          </cell>
        </row>
        <row r="1279">
          <cell r="A1279">
            <v>1276</v>
          </cell>
          <cell r="C1279">
            <v>3714007121</v>
          </cell>
          <cell r="D1279" t="str">
            <v>临邑临盘の机架-4</v>
          </cell>
        </row>
        <row r="1280">
          <cell r="A1280">
            <v>1277</v>
          </cell>
          <cell r="C1280">
            <v>3714007122</v>
          </cell>
          <cell r="D1280" t="str">
            <v>临邑临盘の机架-5</v>
          </cell>
        </row>
        <row r="1281">
          <cell r="A1281">
            <v>1278</v>
          </cell>
          <cell r="C1281">
            <v>3714007123</v>
          </cell>
          <cell r="D1281" t="str">
            <v>临邑临盘の机架-6</v>
          </cell>
        </row>
        <row r="1282">
          <cell r="A1282">
            <v>1279</v>
          </cell>
          <cell r="C1282">
            <v>3714007131</v>
          </cell>
          <cell r="D1282" t="str">
            <v>临邑临盘の机架-7</v>
          </cell>
        </row>
        <row r="1283">
          <cell r="A1283">
            <v>1280</v>
          </cell>
          <cell r="C1283">
            <v>3714007132</v>
          </cell>
          <cell r="D1283" t="str">
            <v>临邑临盘の机架-8</v>
          </cell>
        </row>
        <row r="1284">
          <cell r="A1284">
            <v>1281</v>
          </cell>
          <cell r="C1284">
            <v>3714007133</v>
          </cell>
          <cell r="D1284" t="str">
            <v>临邑临盘の机架-9</v>
          </cell>
        </row>
        <row r="1285">
          <cell r="A1285">
            <v>1282</v>
          </cell>
          <cell r="C1285">
            <v>3714008111</v>
          </cell>
          <cell r="D1285" t="str">
            <v>武城振华街の机架-1</v>
          </cell>
        </row>
        <row r="1286">
          <cell r="A1286">
            <v>1283</v>
          </cell>
          <cell r="C1286">
            <v>3714008112</v>
          </cell>
          <cell r="D1286" t="str">
            <v>武城振华街の机架-2</v>
          </cell>
        </row>
        <row r="1287">
          <cell r="A1287">
            <v>1284</v>
          </cell>
          <cell r="C1287">
            <v>3714008113</v>
          </cell>
          <cell r="D1287" t="str">
            <v>武城振华街の机架-3</v>
          </cell>
        </row>
        <row r="1288">
          <cell r="A1288">
            <v>1285</v>
          </cell>
          <cell r="C1288">
            <v>3714008121</v>
          </cell>
          <cell r="D1288" t="str">
            <v>武城振华街の机架-4</v>
          </cell>
        </row>
        <row r="1289">
          <cell r="A1289">
            <v>1286</v>
          </cell>
          <cell r="C1289">
            <v>3714008122</v>
          </cell>
          <cell r="D1289" t="str">
            <v>武城振华街の机架-5</v>
          </cell>
        </row>
        <row r="1290">
          <cell r="A1290">
            <v>1287</v>
          </cell>
          <cell r="C1290">
            <v>3714008123</v>
          </cell>
          <cell r="D1290" t="str">
            <v>武城振华街の机架-6</v>
          </cell>
        </row>
        <row r="1291">
          <cell r="A1291">
            <v>1288</v>
          </cell>
          <cell r="C1291">
            <v>3714008131</v>
          </cell>
          <cell r="D1291" t="str">
            <v>武城振华街の机架-7</v>
          </cell>
        </row>
        <row r="1292">
          <cell r="A1292">
            <v>1289</v>
          </cell>
          <cell r="C1292">
            <v>3714008132</v>
          </cell>
          <cell r="D1292" t="str">
            <v>武城振华街の机架-8</v>
          </cell>
        </row>
        <row r="1293">
          <cell r="A1293">
            <v>1290</v>
          </cell>
          <cell r="C1293">
            <v>3714008133</v>
          </cell>
          <cell r="D1293" t="str">
            <v>武城振华街の机架-9</v>
          </cell>
        </row>
        <row r="1294">
          <cell r="A1294">
            <v>1291</v>
          </cell>
          <cell r="C1294">
            <v>3714009111</v>
          </cell>
          <cell r="D1294" t="str">
            <v>夏津中山南街の机架-1</v>
          </cell>
        </row>
        <row r="1295">
          <cell r="A1295">
            <v>1292</v>
          </cell>
          <cell r="C1295">
            <v>3714009112</v>
          </cell>
          <cell r="D1295" t="str">
            <v>夏津中山南街の机架-2</v>
          </cell>
        </row>
        <row r="1296">
          <cell r="A1296">
            <v>1293</v>
          </cell>
          <cell r="C1296">
            <v>3714009113</v>
          </cell>
          <cell r="D1296" t="str">
            <v>夏津中山南街の机架-3</v>
          </cell>
        </row>
        <row r="1297">
          <cell r="A1297">
            <v>1294</v>
          </cell>
          <cell r="C1297">
            <v>3714009121</v>
          </cell>
          <cell r="D1297" t="str">
            <v>夏津中山南街の机架-4</v>
          </cell>
        </row>
        <row r="1298">
          <cell r="A1298">
            <v>1295</v>
          </cell>
          <cell r="C1298">
            <v>3714009122</v>
          </cell>
          <cell r="D1298" t="str">
            <v>夏津中山南街の机架-5</v>
          </cell>
        </row>
        <row r="1299">
          <cell r="A1299">
            <v>1296</v>
          </cell>
          <cell r="C1299">
            <v>3714009123</v>
          </cell>
          <cell r="D1299" t="str">
            <v>夏津中山南街の机架-6</v>
          </cell>
        </row>
        <row r="1300">
          <cell r="A1300">
            <v>1297</v>
          </cell>
          <cell r="C1300">
            <v>3714009131</v>
          </cell>
          <cell r="D1300" t="str">
            <v>夏津中山南街の机架-7</v>
          </cell>
        </row>
        <row r="1301">
          <cell r="A1301">
            <v>1298</v>
          </cell>
          <cell r="C1301">
            <v>3714009132</v>
          </cell>
          <cell r="D1301" t="str">
            <v>夏津中山南街の机架-8</v>
          </cell>
        </row>
        <row r="1302">
          <cell r="A1302">
            <v>1299</v>
          </cell>
          <cell r="C1302">
            <v>3714009133</v>
          </cell>
          <cell r="D1302" t="str">
            <v>夏津中山南街の机架-9</v>
          </cell>
        </row>
        <row r="1303">
          <cell r="A1303">
            <v>1300</v>
          </cell>
          <cell r="C1303">
            <v>3714010111</v>
          </cell>
          <cell r="D1303" t="str">
            <v>宁津中心大街の机架-1</v>
          </cell>
        </row>
        <row r="1304">
          <cell r="A1304">
            <v>1301</v>
          </cell>
          <cell r="C1304">
            <v>3714010112</v>
          </cell>
          <cell r="D1304" t="str">
            <v>宁津中心大街の机架-2</v>
          </cell>
        </row>
        <row r="1305">
          <cell r="A1305">
            <v>1302</v>
          </cell>
          <cell r="C1305">
            <v>3714010113</v>
          </cell>
          <cell r="D1305" t="str">
            <v>宁津中心大街の机架-3</v>
          </cell>
        </row>
        <row r="1306">
          <cell r="A1306">
            <v>1303</v>
          </cell>
          <cell r="C1306">
            <v>3714010121</v>
          </cell>
          <cell r="D1306" t="str">
            <v>宁津中心大街の机架-4</v>
          </cell>
        </row>
        <row r="1307">
          <cell r="A1307">
            <v>1304</v>
          </cell>
          <cell r="C1307">
            <v>3714010122</v>
          </cell>
          <cell r="D1307" t="str">
            <v>宁津中心大街の机架-5</v>
          </cell>
        </row>
        <row r="1308">
          <cell r="A1308">
            <v>1305</v>
          </cell>
          <cell r="C1308">
            <v>3714010123</v>
          </cell>
          <cell r="D1308" t="str">
            <v>宁津中心大街の机架-6</v>
          </cell>
        </row>
        <row r="1309">
          <cell r="A1309">
            <v>1306</v>
          </cell>
          <cell r="C1309">
            <v>3714010131</v>
          </cell>
          <cell r="D1309" t="str">
            <v>宁津中心大街の机架-7</v>
          </cell>
        </row>
        <row r="1310">
          <cell r="A1310">
            <v>1307</v>
          </cell>
          <cell r="C1310">
            <v>3714010132</v>
          </cell>
          <cell r="D1310" t="str">
            <v>宁津中心大街の机架-8</v>
          </cell>
        </row>
        <row r="1311">
          <cell r="A1311">
            <v>1308</v>
          </cell>
          <cell r="C1311">
            <v>3714010133</v>
          </cell>
          <cell r="D1311" t="str">
            <v>宁津中心大街の机架-9</v>
          </cell>
        </row>
        <row r="1312">
          <cell r="A1312">
            <v>1309</v>
          </cell>
          <cell r="C1312">
            <v>3714011111</v>
          </cell>
          <cell r="D1312" t="str">
            <v>齐河新华路の机架-1</v>
          </cell>
        </row>
        <row r="1313">
          <cell r="A1313">
            <v>1310</v>
          </cell>
          <cell r="C1313">
            <v>3714011112</v>
          </cell>
          <cell r="D1313" t="str">
            <v>齐河新华路の机架-2</v>
          </cell>
        </row>
        <row r="1314">
          <cell r="A1314">
            <v>1311</v>
          </cell>
          <cell r="C1314">
            <v>3714011113</v>
          </cell>
          <cell r="D1314" t="str">
            <v>齐河新华路の机架-3</v>
          </cell>
        </row>
        <row r="1315">
          <cell r="A1315">
            <v>1312</v>
          </cell>
          <cell r="C1315">
            <v>3714011121</v>
          </cell>
          <cell r="D1315" t="str">
            <v>齐河新华路の机架-4</v>
          </cell>
        </row>
        <row r="1316">
          <cell r="A1316">
            <v>1313</v>
          </cell>
          <cell r="C1316">
            <v>3714011122</v>
          </cell>
          <cell r="D1316" t="str">
            <v>齐河新华路の机架-5</v>
          </cell>
        </row>
        <row r="1317">
          <cell r="A1317">
            <v>1314</v>
          </cell>
          <cell r="C1317">
            <v>3714011123</v>
          </cell>
          <cell r="D1317" t="str">
            <v>齐河新华路の机架-6</v>
          </cell>
        </row>
        <row r="1318">
          <cell r="A1318">
            <v>1315</v>
          </cell>
          <cell r="C1318">
            <v>3714011131</v>
          </cell>
          <cell r="D1318" t="str">
            <v>齐河新华路の机架-7</v>
          </cell>
        </row>
        <row r="1319">
          <cell r="A1319">
            <v>1316</v>
          </cell>
          <cell r="C1319">
            <v>3714011132</v>
          </cell>
          <cell r="D1319" t="str">
            <v>齐河新华路の机架-8</v>
          </cell>
        </row>
        <row r="1320">
          <cell r="A1320">
            <v>1317</v>
          </cell>
          <cell r="C1320">
            <v>3714011133</v>
          </cell>
          <cell r="D1320" t="str">
            <v>齐河新华路の机架-9</v>
          </cell>
        </row>
        <row r="1321">
          <cell r="A1321">
            <v>1318</v>
          </cell>
          <cell r="C1321">
            <v>3714012111</v>
          </cell>
          <cell r="D1321" t="str">
            <v>齐河务头の机架-1</v>
          </cell>
        </row>
        <row r="1322">
          <cell r="A1322">
            <v>1319</v>
          </cell>
          <cell r="C1322">
            <v>3714012112</v>
          </cell>
          <cell r="D1322" t="str">
            <v>齐河务头の机架-2</v>
          </cell>
        </row>
        <row r="1323">
          <cell r="A1323">
            <v>1320</v>
          </cell>
          <cell r="C1323">
            <v>3714012113</v>
          </cell>
          <cell r="D1323" t="str">
            <v>齐河务头の机架-3</v>
          </cell>
        </row>
        <row r="1324">
          <cell r="A1324">
            <v>1321</v>
          </cell>
          <cell r="C1324">
            <v>3714012121</v>
          </cell>
          <cell r="D1324" t="str">
            <v>齐河务头の机架-4</v>
          </cell>
        </row>
        <row r="1325">
          <cell r="A1325">
            <v>1322</v>
          </cell>
          <cell r="C1325">
            <v>3714012122</v>
          </cell>
          <cell r="D1325" t="str">
            <v>齐河务头の机架-5</v>
          </cell>
        </row>
        <row r="1326">
          <cell r="A1326">
            <v>1323</v>
          </cell>
          <cell r="C1326">
            <v>3714012123</v>
          </cell>
          <cell r="D1326" t="str">
            <v>齐河务头の机架-6</v>
          </cell>
        </row>
        <row r="1327">
          <cell r="A1327">
            <v>1324</v>
          </cell>
          <cell r="C1327">
            <v>3714012131</v>
          </cell>
          <cell r="D1327" t="str">
            <v>齐河务头の机架-7</v>
          </cell>
        </row>
        <row r="1328">
          <cell r="A1328">
            <v>1325</v>
          </cell>
          <cell r="C1328">
            <v>3714012132</v>
          </cell>
          <cell r="D1328" t="str">
            <v>齐河务头の机架-8</v>
          </cell>
        </row>
        <row r="1329">
          <cell r="A1329">
            <v>1326</v>
          </cell>
          <cell r="C1329">
            <v>3714012133</v>
          </cell>
          <cell r="D1329" t="str">
            <v>齐河务头の机架-9</v>
          </cell>
        </row>
        <row r="1330">
          <cell r="A1330">
            <v>1327</v>
          </cell>
          <cell r="C1330">
            <v>3714013111</v>
          </cell>
          <cell r="D1330" t="str">
            <v>禹城行政街の机架-1</v>
          </cell>
        </row>
        <row r="1331">
          <cell r="A1331">
            <v>1328</v>
          </cell>
          <cell r="C1331">
            <v>3714013112</v>
          </cell>
          <cell r="D1331" t="str">
            <v>禹城行政街の机架-2</v>
          </cell>
        </row>
        <row r="1332">
          <cell r="A1332">
            <v>1329</v>
          </cell>
          <cell r="C1332">
            <v>3714013113</v>
          </cell>
          <cell r="D1332" t="str">
            <v>禹城行政街の机架-3</v>
          </cell>
        </row>
        <row r="1333">
          <cell r="A1333">
            <v>1330</v>
          </cell>
          <cell r="C1333">
            <v>3714013121</v>
          </cell>
          <cell r="D1333" t="str">
            <v>禹城行政街の机架-4</v>
          </cell>
        </row>
        <row r="1334">
          <cell r="A1334">
            <v>1331</v>
          </cell>
          <cell r="C1334">
            <v>3714013122</v>
          </cell>
          <cell r="D1334" t="str">
            <v>禹城行政街の机架-5</v>
          </cell>
        </row>
        <row r="1335">
          <cell r="A1335">
            <v>1332</v>
          </cell>
          <cell r="C1335">
            <v>3714013123</v>
          </cell>
          <cell r="D1335" t="str">
            <v>禹城行政街の机架-6</v>
          </cell>
        </row>
        <row r="1336">
          <cell r="A1336">
            <v>1333</v>
          </cell>
          <cell r="C1336">
            <v>3714013131</v>
          </cell>
          <cell r="D1336" t="str">
            <v>禹城行政街の机架-7</v>
          </cell>
        </row>
        <row r="1337">
          <cell r="A1337">
            <v>1334</v>
          </cell>
          <cell r="C1337">
            <v>3714013132</v>
          </cell>
          <cell r="D1337" t="str">
            <v>禹城行政街の机架-8</v>
          </cell>
        </row>
        <row r="1338">
          <cell r="A1338">
            <v>1335</v>
          </cell>
          <cell r="C1338">
            <v>3714013133</v>
          </cell>
          <cell r="D1338" t="str">
            <v>禹城行政街の机架-9</v>
          </cell>
        </row>
        <row r="1339">
          <cell r="A1339">
            <v>1336</v>
          </cell>
          <cell r="C1339">
            <v>3714014111</v>
          </cell>
          <cell r="D1339" t="str">
            <v>禹城火车站の机架-1</v>
          </cell>
        </row>
        <row r="1340">
          <cell r="A1340">
            <v>1337</v>
          </cell>
          <cell r="C1340">
            <v>3714014112</v>
          </cell>
          <cell r="D1340" t="str">
            <v>禹城火车站の机架-2</v>
          </cell>
        </row>
        <row r="1341">
          <cell r="A1341">
            <v>1338</v>
          </cell>
          <cell r="C1341">
            <v>3714014113</v>
          </cell>
          <cell r="D1341" t="str">
            <v>禹城火车站の机架-3</v>
          </cell>
        </row>
        <row r="1342">
          <cell r="A1342">
            <v>1339</v>
          </cell>
          <cell r="C1342">
            <v>3714014121</v>
          </cell>
          <cell r="D1342" t="str">
            <v>禹城火车站の机架-4</v>
          </cell>
        </row>
        <row r="1343">
          <cell r="A1343">
            <v>1340</v>
          </cell>
          <cell r="C1343">
            <v>3714014122</v>
          </cell>
          <cell r="D1343" t="str">
            <v>禹城火车站の机架-5</v>
          </cell>
        </row>
        <row r="1344">
          <cell r="A1344">
            <v>1341</v>
          </cell>
          <cell r="C1344">
            <v>3714014123</v>
          </cell>
          <cell r="D1344" t="str">
            <v>禹城火车站の机架-6</v>
          </cell>
        </row>
        <row r="1345">
          <cell r="A1345">
            <v>1342</v>
          </cell>
          <cell r="C1345">
            <v>3714014131</v>
          </cell>
          <cell r="D1345" t="str">
            <v>禹城火车站の机架-7</v>
          </cell>
        </row>
        <row r="1346">
          <cell r="A1346">
            <v>1343</v>
          </cell>
          <cell r="C1346">
            <v>3714014132</v>
          </cell>
          <cell r="D1346" t="str">
            <v>禹城火车站の机架-8</v>
          </cell>
        </row>
        <row r="1347">
          <cell r="A1347">
            <v>1344</v>
          </cell>
          <cell r="C1347">
            <v>3714014133</v>
          </cell>
          <cell r="D1347" t="str">
            <v>禹城火车站の机架-9</v>
          </cell>
        </row>
        <row r="1348">
          <cell r="A1348">
            <v>1345</v>
          </cell>
          <cell r="C1348">
            <v>3714015111</v>
          </cell>
          <cell r="D1348" t="str">
            <v>平原平安大街の机架-1</v>
          </cell>
        </row>
        <row r="1349">
          <cell r="A1349">
            <v>1346</v>
          </cell>
          <cell r="C1349">
            <v>3714015112</v>
          </cell>
          <cell r="D1349" t="str">
            <v>平原平安大街の机架-2</v>
          </cell>
        </row>
        <row r="1350">
          <cell r="A1350">
            <v>1347</v>
          </cell>
          <cell r="C1350">
            <v>3714015113</v>
          </cell>
          <cell r="D1350" t="str">
            <v>平原平安大街の机架-3</v>
          </cell>
        </row>
        <row r="1351">
          <cell r="A1351">
            <v>1348</v>
          </cell>
          <cell r="C1351">
            <v>3714015121</v>
          </cell>
          <cell r="D1351" t="str">
            <v>平原平安大街の机架-4</v>
          </cell>
        </row>
        <row r="1352">
          <cell r="A1352">
            <v>1349</v>
          </cell>
          <cell r="C1352">
            <v>3714015122</v>
          </cell>
          <cell r="D1352" t="str">
            <v>平原平安大街の机架-5</v>
          </cell>
        </row>
        <row r="1353">
          <cell r="A1353">
            <v>1350</v>
          </cell>
          <cell r="C1353">
            <v>3714015123</v>
          </cell>
          <cell r="D1353" t="str">
            <v>平原平安大街の机架-6</v>
          </cell>
        </row>
        <row r="1354">
          <cell r="A1354">
            <v>1351</v>
          </cell>
          <cell r="C1354">
            <v>3714015131</v>
          </cell>
          <cell r="D1354" t="str">
            <v>平原平安大街の机架-7</v>
          </cell>
        </row>
        <row r="1355">
          <cell r="A1355">
            <v>1352</v>
          </cell>
          <cell r="C1355">
            <v>3714015132</v>
          </cell>
          <cell r="D1355" t="str">
            <v>平原平安大街の机架-8</v>
          </cell>
        </row>
        <row r="1356">
          <cell r="A1356">
            <v>1353</v>
          </cell>
          <cell r="C1356">
            <v>3714015133</v>
          </cell>
          <cell r="D1356" t="str">
            <v>平原平安大街の机架-9</v>
          </cell>
        </row>
        <row r="1357">
          <cell r="A1357">
            <v>1354</v>
          </cell>
          <cell r="C1357">
            <v>3715001111</v>
          </cell>
          <cell r="D1357" t="str">
            <v>聊城东昌西路の机架-1</v>
          </cell>
        </row>
        <row r="1358">
          <cell r="A1358">
            <v>1355</v>
          </cell>
          <cell r="C1358">
            <v>3715001112</v>
          </cell>
          <cell r="D1358" t="str">
            <v>聊城东昌西路の机架-2</v>
          </cell>
        </row>
        <row r="1359">
          <cell r="A1359">
            <v>1356</v>
          </cell>
          <cell r="C1359">
            <v>3715001113</v>
          </cell>
          <cell r="D1359" t="str">
            <v>聊城东昌西路の机架-3</v>
          </cell>
        </row>
        <row r="1360">
          <cell r="A1360">
            <v>1357</v>
          </cell>
          <cell r="C1360">
            <v>3715001121</v>
          </cell>
          <cell r="D1360" t="str">
            <v>聊城东昌西路の机架-4</v>
          </cell>
        </row>
        <row r="1361">
          <cell r="A1361">
            <v>1358</v>
          </cell>
          <cell r="C1361">
            <v>3715001122</v>
          </cell>
          <cell r="D1361" t="str">
            <v>聊城东昌西路の机架-5</v>
          </cell>
        </row>
        <row r="1362">
          <cell r="A1362">
            <v>1359</v>
          </cell>
          <cell r="C1362">
            <v>3715001123</v>
          </cell>
          <cell r="D1362" t="str">
            <v>聊城东昌西路の机架-6</v>
          </cell>
        </row>
        <row r="1363">
          <cell r="A1363">
            <v>1360</v>
          </cell>
          <cell r="C1363">
            <v>3715001131</v>
          </cell>
          <cell r="D1363" t="str">
            <v>聊城东昌西路の机架-7</v>
          </cell>
        </row>
        <row r="1364">
          <cell r="A1364">
            <v>1361</v>
          </cell>
          <cell r="C1364">
            <v>3715001132</v>
          </cell>
          <cell r="D1364" t="str">
            <v>聊城东昌西路の机架-8</v>
          </cell>
        </row>
        <row r="1365">
          <cell r="A1365">
            <v>1362</v>
          </cell>
          <cell r="C1365">
            <v>3715001133</v>
          </cell>
          <cell r="D1365" t="str">
            <v>聊城东昌西路の机架-9</v>
          </cell>
        </row>
        <row r="1366">
          <cell r="A1366">
            <v>1363</v>
          </cell>
          <cell r="C1366">
            <v>3715001211</v>
          </cell>
          <cell r="D1366" t="str">
            <v>聊城东昌西路の机架-10</v>
          </cell>
        </row>
        <row r="1367">
          <cell r="A1367">
            <v>1364</v>
          </cell>
          <cell r="C1367">
            <v>3715001212</v>
          </cell>
          <cell r="D1367" t="str">
            <v>聊城东昌西路の机架-11</v>
          </cell>
        </row>
        <row r="1368">
          <cell r="A1368">
            <v>1365</v>
          </cell>
          <cell r="C1368">
            <v>3715001213</v>
          </cell>
          <cell r="D1368" t="str">
            <v>聊城东昌西路の机架-12</v>
          </cell>
        </row>
        <row r="1369">
          <cell r="A1369">
            <v>1366</v>
          </cell>
          <cell r="C1369">
            <v>3715001221</v>
          </cell>
          <cell r="D1369" t="str">
            <v>聊城东昌西路の机架-13</v>
          </cell>
        </row>
        <row r="1370">
          <cell r="A1370">
            <v>1367</v>
          </cell>
          <cell r="C1370">
            <v>3715001222</v>
          </cell>
          <cell r="D1370" t="str">
            <v>聊城东昌西路の机架-14</v>
          </cell>
        </row>
        <row r="1371">
          <cell r="A1371">
            <v>1368</v>
          </cell>
          <cell r="C1371">
            <v>3715001223</v>
          </cell>
          <cell r="D1371" t="str">
            <v>聊城东昌西路の机架-15</v>
          </cell>
        </row>
        <row r="1372">
          <cell r="A1372">
            <v>1369</v>
          </cell>
          <cell r="C1372">
            <v>3715001231</v>
          </cell>
          <cell r="D1372" t="str">
            <v>聊城东昌西路の机架-16</v>
          </cell>
        </row>
        <row r="1373">
          <cell r="A1373">
            <v>1370</v>
          </cell>
          <cell r="C1373">
            <v>3715001232</v>
          </cell>
          <cell r="D1373" t="str">
            <v>聊城东昌西路の机架-17</v>
          </cell>
        </row>
        <row r="1374">
          <cell r="A1374">
            <v>1371</v>
          </cell>
          <cell r="C1374">
            <v>3715001233</v>
          </cell>
          <cell r="D1374" t="str">
            <v>聊城东昌西路の机架-18</v>
          </cell>
        </row>
        <row r="1375">
          <cell r="A1375">
            <v>1372</v>
          </cell>
          <cell r="C1375">
            <v>3715002111</v>
          </cell>
          <cell r="D1375" t="str">
            <v>聊城龙山路の机架-1</v>
          </cell>
        </row>
        <row r="1376">
          <cell r="A1376">
            <v>1373</v>
          </cell>
          <cell r="C1376">
            <v>3715002112</v>
          </cell>
          <cell r="D1376" t="str">
            <v>聊城龙山路の机架-2</v>
          </cell>
        </row>
        <row r="1377">
          <cell r="A1377">
            <v>1374</v>
          </cell>
          <cell r="C1377">
            <v>3715002113</v>
          </cell>
          <cell r="D1377" t="str">
            <v>聊城龙山路の机架-3</v>
          </cell>
        </row>
        <row r="1378">
          <cell r="A1378">
            <v>1375</v>
          </cell>
          <cell r="C1378">
            <v>3715002121</v>
          </cell>
          <cell r="D1378" t="str">
            <v>聊城龙山路の机架-4</v>
          </cell>
        </row>
        <row r="1379">
          <cell r="A1379">
            <v>1376</v>
          </cell>
          <cell r="C1379">
            <v>3715002122</v>
          </cell>
          <cell r="D1379" t="str">
            <v>聊城龙山路の机架-5</v>
          </cell>
        </row>
        <row r="1380">
          <cell r="A1380">
            <v>1377</v>
          </cell>
          <cell r="C1380">
            <v>3715002123</v>
          </cell>
          <cell r="D1380" t="str">
            <v>聊城龙山路の机架-6</v>
          </cell>
        </row>
        <row r="1381">
          <cell r="A1381">
            <v>1378</v>
          </cell>
          <cell r="C1381">
            <v>3715002131</v>
          </cell>
          <cell r="D1381" t="str">
            <v>聊城龙山路の机架-7</v>
          </cell>
        </row>
        <row r="1382">
          <cell r="A1382">
            <v>1379</v>
          </cell>
          <cell r="C1382">
            <v>3715002132</v>
          </cell>
          <cell r="D1382" t="str">
            <v>聊城龙山路の机架-8</v>
          </cell>
        </row>
        <row r="1383">
          <cell r="A1383">
            <v>1380</v>
          </cell>
          <cell r="C1383">
            <v>3715002133</v>
          </cell>
          <cell r="D1383" t="str">
            <v>聊城龙山路の机架-9</v>
          </cell>
        </row>
        <row r="1384">
          <cell r="A1384">
            <v>1381</v>
          </cell>
          <cell r="C1384">
            <v>3715003111</v>
          </cell>
          <cell r="D1384" t="str">
            <v>聊城联通建设路の机架-1</v>
          </cell>
        </row>
        <row r="1385">
          <cell r="A1385">
            <v>1382</v>
          </cell>
          <cell r="C1385">
            <v>3715003112</v>
          </cell>
          <cell r="D1385" t="str">
            <v>聊城联通建设路の机架-2</v>
          </cell>
        </row>
        <row r="1386">
          <cell r="A1386">
            <v>1383</v>
          </cell>
          <cell r="C1386">
            <v>3715003113</v>
          </cell>
          <cell r="D1386" t="str">
            <v>聊城联通建设路の机架-3</v>
          </cell>
        </row>
        <row r="1387">
          <cell r="A1387">
            <v>1384</v>
          </cell>
          <cell r="C1387">
            <v>3715003121</v>
          </cell>
          <cell r="D1387" t="str">
            <v>聊城联通建设路の机架-4</v>
          </cell>
        </row>
        <row r="1388">
          <cell r="A1388">
            <v>1385</v>
          </cell>
          <cell r="C1388">
            <v>3715003122</v>
          </cell>
          <cell r="D1388" t="str">
            <v>聊城联通建设路の机架-5</v>
          </cell>
        </row>
        <row r="1389">
          <cell r="A1389">
            <v>1386</v>
          </cell>
          <cell r="C1389">
            <v>3715003123</v>
          </cell>
          <cell r="D1389" t="str">
            <v>聊城联通建设路の机架-6</v>
          </cell>
        </row>
        <row r="1390">
          <cell r="A1390">
            <v>1387</v>
          </cell>
          <cell r="C1390">
            <v>3715003131</v>
          </cell>
          <cell r="D1390" t="str">
            <v>聊城联通建设路の机架-7</v>
          </cell>
        </row>
        <row r="1391">
          <cell r="A1391">
            <v>1388</v>
          </cell>
          <cell r="C1391">
            <v>3715003132</v>
          </cell>
          <cell r="D1391" t="str">
            <v>聊城联通建设路の机架-8</v>
          </cell>
        </row>
        <row r="1392">
          <cell r="A1392">
            <v>1389</v>
          </cell>
          <cell r="C1392">
            <v>3715003133</v>
          </cell>
          <cell r="D1392" t="str">
            <v>聊城联通建设路の机架-9</v>
          </cell>
        </row>
        <row r="1393">
          <cell r="A1393">
            <v>1390</v>
          </cell>
          <cell r="C1393">
            <v>3715004111</v>
          </cell>
          <cell r="D1393" t="str">
            <v>聊城柳园南路の机架-1</v>
          </cell>
        </row>
        <row r="1394">
          <cell r="A1394">
            <v>1391</v>
          </cell>
          <cell r="C1394">
            <v>3715004112</v>
          </cell>
          <cell r="D1394" t="str">
            <v>聊城柳园南路の机架-2</v>
          </cell>
        </row>
        <row r="1395">
          <cell r="A1395">
            <v>1392</v>
          </cell>
          <cell r="C1395">
            <v>3715004113</v>
          </cell>
          <cell r="D1395" t="str">
            <v>聊城柳园南路の机架-3</v>
          </cell>
        </row>
        <row r="1396">
          <cell r="A1396">
            <v>1393</v>
          </cell>
          <cell r="C1396">
            <v>3715004121</v>
          </cell>
          <cell r="D1396" t="str">
            <v>聊城柳园南路の机架-4</v>
          </cell>
        </row>
        <row r="1397">
          <cell r="A1397">
            <v>1394</v>
          </cell>
          <cell r="C1397">
            <v>3715004122</v>
          </cell>
          <cell r="D1397" t="str">
            <v>聊城柳园南路の机架-5</v>
          </cell>
        </row>
        <row r="1398">
          <cell r="A1398">
            <v>1395</v>
          </cell>
          <cell r="C1398">
            <v>3715004123</v>
          </cell>
          <cell r="D1398" t="str">
            <v>聊城柳园南路の机架-6</v>
          </cell>
        </row>
        <row r="1399">
          <cell r="A1399">
            <v>1396</v>
          </cell>
          <cell r="C1399">
            <v>3715004131</v>
          </cell>
          <cell r="D1399" t="str">
            <v>聊城柳园南路の机架-7</v>
          </cell>
        </row>
        <row r="1400">
          <cell r="A1400">
            <v>1397</v>
          </cell>
          <cell r="C1400">
            <v>3715004132</v>
          </cell>
          <cell r="D1400" t="str">
            <v>聊城柳园南路の机架-8</v>
          </cell>
        </row>
        <row r="1401">
          <cell r="A1401">
            <v>1398</v>
          </cell>
          <cell r="C1401">
            <v>3715004133</v>
          </cell>
          <cell r="D1401" t="str">
            <v>聊城柳园南路の机架-9</v>
          </cell>
        </row>
        <row r="1402">
          <cell r="A1402">
            <v>1399</v>
          </cell>
          <cell r="C1402">
            <v>3715005111</v>
          </cell>
          <cell r="D1402" t="str">
            <v>阳谷谷山路の机架-1</v>
          </cell>
        </row>
        <row r="1403">
          <cell r="A1403">
            <v>1400</v>
          </cell>
          <cell r="C1403">
            <v>3715005112</v>
          </cell>
          <cell r="D1403" t="str">
            <v>阳谷谷山路の机架-2</v>
          </cell>
        </row>
        <row r="1404">
          <cell r="A1404">
            <v>1401</v>
          </cell>
          <cell r="C1404">
            <v>3715005113</v>
          </cell>
          <cell r="D1404" t="str">
            <v>阳谷谷山路の机架-3</v>
          </cell>
        </row>
        <row r="1405">
          <cell r="A1405">
            <v>1402</v>
          </cell>
          <cell r="C1405">
            <v>3715005121</v>
          </cell>
          <cell r="D1405" t="str">
            <v>阳谷谷山路の机架-4</v>
          </cell>
        </row>
        <row r="1406">
          <cell r="A1406">
            <v>1403</v>
          </cell>
          <cell r="C1406">
            <v>3715005122</v>
          </cell>
          <cell r="D1406" t="str">
            <v>阳谷谷山路の机架-5</v>
          </cell>
        </row>
        <row r="1407">
          <cell r="A1407">
            <v>1404</v>
          </cell>
          <cell r="C1407">
            <v>3715005123</v>
          </cell>
          <cell r="D1407" t="str">
            <v>阳谷谷山路の机架-6</v>
          </cell>
        </row>
        <row r="1408">
          <cell r="A1408">
            <v>1405</v>
          </cell>
          <cell r="C1408">
            <v>3715005131</v>
          </cell>
          <cell r="D1408" t="str">
            <v>阳谷谷山路の机架-7</v>
          </cell>
        </row>
        <row r="1409">
          <cell r="A1409">
            <v>1406</v>
          </cell>
          <cell r="C1409">
            <v>3715005132</v>
          </cell>
          <cell r="D1409" t="str">
            <v>阳谷谷山路の机架-8</v>
          </cell>
        </row>
        <row r="1410">
          <cell r="A1410">
            <v>1407</v>
          </cell>
          <cell r="C1410">
            <v>3715005133</v>
          </cell>
          <cell r="D1410" t="str">
            <v>阳谷谷山路の机架-9</v>
          </cell>
        </row>
        <row r="1411">
          <cell r="A1411">
            <v>1408</v>
          </cell>
          <cell r="C1411">
            <v>3715006111</v>
          </cell>
          <cell r="D1411" t="str">
            <v>临东机房の机架-1</v>
          </cell>
        </row>
        <row r="1412">
          <cell r="A1412">
            <v>1409</v>
          </cell>
          <cell r="C1412">
            <v>3715006112</v>
          </cell>
          <cell r="D1412" t="str">
            <v>临东机房の机架-2</v>
          </cell>
        </row>
        <row r="1413">
          <cell r="A1413">
            <v>1410</v>
          </cell>
          <cell r="C1413">
            <v>3715006113</v>
          </cell>
          <cell r="D1413" t="str">
            <v>临东机房の机架-3</v>
          </cell>
        </row>
        <row r="1414">
          <cell r="A1414">
            <v>1411</v>
          </cell>
          <cell r="C1414">
            <v>3715006121</v>
          </cell>
          <cell r="D1414" t="str">
            <v>临东机房の机架-4</v>
          </cell>
        </row>
        <row r="1415">
          <cell r="A1415">
            <v>1412</v>
          </cell>
          <cell r="C1415">
            <v>3715006122</v>
          </cell>
          <cell r="D1415" t="str">
            <v>临东机房の机架-5</v>
          </cell>
        </row>
        <row r="1416">
          <cell r="A1416">
            <v>1413</v>
          </cell>
          <cell r="C1416">
            <v>3715006123</v>
          </cell>
          <cell r="D1416" t="str">
            <v>临东机房の机架-6</v>
          </cell>
        </row>
        <row r="1417">
          <cell r="A1417">
            <v>1414</v>
          </cell>
          <cell r="C1417">
            <v>3715006131</v>
          </cell>
          <cell r="D1417" t="str">
            <v>临东机房の机架-7</v>
          </cell>
        </row>
        <row r="1418">
          <cell r="A1418">
            <v>1415</v>
          </cell>
          <cell r="C1418">
            <v>3715006132</v>
          </cell>
          <cell r="D1418" t="str">
            <v>临东机房の机架-8</v>
          </cell>
        </row>
        <row r="1419">
          <cell r="A1419">
            <v>1416</v>
          </cell>
          <cell r="C1419">
            <v>3715006133</v>
          </cell>
          <cell r="D1419" t="str">
            <v>临东机房の机架-9</v>
          </cell>
        </row>
        <row r="1420">
          <cell r="A1420">
            <v>1417</v>
          </cell>
          <cell r="C1420">
            <v>3715007111</v>
          </cell>
          <cell r="D1420" t="str">
            <v>东阿府前街の机架-1</v>
          </cell>
        </row>
        <row r="1421">
          <cell r="A1421">
            <v>1418</v>
          </cell>
          <cell r="C1421">
            <v>3715007112</v>
          </cell>
          <cell r="D1421" t="str">
            <v>东阿府前街の机架-2</v>
          </cell>
        </row>
        <row r="1422">
          <cell r="A1422">
            <v>1419</v>
          </cell>
          <cell r="C1422">
            <v>3715007113</v>
          </cell>
          <cell r="D1422" t="str">
            <v>东阿府前街の机架-3</v>
          </cell>
        </row>
        <row r="1423">
          <cell r="A1423">
            <v>1420</v>
          </cell>
          <cell r="C1423">
            <v>3715007121</v>
          </cell>
          <cell r="D1423" t="str">
            <v>东阿府前街の机架-4</v>
          </cell>
        </row>
        <row r="1424">
          <cell r="A1424">
            <v>1421</v>
          </cell>
          <cell r="C1424">
            <v>3715007122</v>
          </cell>
          <cell r="D1424" t="str">
            <v>东阿府前街の机架-5</v>
          </cell>
        </row>
        <row r="1425">
          <cell r="A1425">
            <v>1422</v>
          </cell>
          <cell r="C1425">
            <v>3715007123</v>
          </cell>
          <cell r="D1425" t="str">
            <v>东阿府前街の机架-6</v>
          </cell>
        </row>
        <row r="1426">
          <cell r="A1426">
            <v>1423</v>
          </cell>
          <cell r="C1426">
            <v>3715007131</v>
          </cell>
          <cell r="D1426" t="str">
            <v>东阿府前街の机架-7</v>
          </cell>
        </row>
        <row r="1427">
          <cell r="A1427">
            <v>1424</v>
          </cell>
          <cell r="C1427">
            <v>3715007132</v>
          </cell>
          <cell r="D1427" t="str">
            <v>东阿府前街の机架-8</v>
          </cell>
        </row>
        <row r="1428">
          <cell r="A1428">
            <v>1425</v>
          </cell>
          <cell r="C1428">
            <v>3715007133</v>
          </cell>
          <cell r="D1428" t="str">
            <v>东阿府前街の机架-9</v>
          </cell>
        </row>
        <row r="1429">
          <cell r="A1429">
            <v>1426</v>
          </cell>
          <cell r="C1429">
            <v>3715008111</v>
          </cell>
          <cell r="D1429" t="str">
            <v>临清红星路东段の机架-1</v>
          </cell>
        </row>
        <row r="1430">
          <cell r="A1430">
            <v>1427</v>
          </cell>
          <cell r="C1430">
            <v>3715008112</v>
          </cell>
          <cell r="D1430" t="str">
            <v>临清红星路东段の机架-2</v>
          </cell>
        </row>
        <row r="1431">
          <cell r="A1431">
            <v>1428</v>
          </cell>
          <cell r="C1431">
            <v>3715008113</v>
          </cell>
          <cell r="D1431" t="str">
            <v>临清红星路东段の机架-3</v>
          </cell>
        </row>
        <row r="1432">
          <cell r="A1432">
            <v>1429</v>
          </cell>
          <cell r="C1432">
            <v>3715008121</v>
          </cell>
          <cell r="D1432" t="str">
            <v>临清红星路东段の机架-4</v>
          </cell>
        </row>
        <row r="1433">
          <cell r="A1433">
            <v>1430</v>
          </cell>
          <cell r="C1433">
            <v>3715008122</v>
          </cell>
          <cell r="D1433" t="str">
            <v>临清红星路东段の机架-5</v>
          </cell>
        </row>
        <row r="1434">
          <cell r="A1434">
            <v>1431</v>
          </cell>
          <cell r="C1434">
            <v>3715008123</v>
          </cell>
          <cell r="D1434" t="str">
            <v>临清红星路东段の机架-6</v>
          </cell>
        </row>
        <row r="1435">
          <cell r="A1435">
            <v>1432</v>
          </cell>
          <cell r="C1435">
            <v>3715008131</v>
          </cell>
          <cell r="D1435" t="str">
            <v>临清红星路东段の机架-7</v>
          </cell>
        </row>
        <row r="1436">
          <cell r="A1436">
            <v>1433</v>
          </cell>
          <cell r="C1436">
            <v>3715008132</v>
          </cell>
          <cell r="D1436" t="str">
            <v>临清红星路东段の机架-8</v>
          </cell>
        </row>
        <row r="1437">
          <cell r="A1437">
            <v>1434</v>
          </cell>
          <cell r="C1437">
            <v>3715008133</v>
          </cell>
          <cell r="D1437" t="str">
            <v>临清红星路东段の机架-9</v>
          </cell>
        </row>
        <row r="1438">
          <cell r="A1438">
            <v>1435</v>
          </cell>
          <cell r="C1438">
            <v>3713001111</v>
          </cell>
          <cell r="D1438" t="str">
            <v>临沂金雀山の机架-1</v>
          </cell>
        </row>
        <row r="1439">
          <cell r="A1439">
            <v>1436</v>
          </cell>
          <cell r="C1439">
            <v>3713001112</v>
          </cell>
          <cell r="D1439" t="str">
            <v>临沂金雀山の机架-2</v>
          </cell>
        </row>
        <row r="1440">
          <cell r="A1440">
            <v>1437</v>
          </cell>
          <cell r="C1440">
            <v>3713001113</v>
          </cell>
          <cell r="D1440" t="str">
            <v>临沂金雀山の机架-3</v>
          </cell>
        </row>
        <row r="1441">
          <cell r="A1441">
            <v>1438</v>
          </cell>
          <cell r="C1441">
            <v>3713001121</v>
          </cell>
          <cell r="D1441" t="str">
            <v>临沂金雀山の机架-4</v>
          </cell>
        </row>
        <row r="1442">
          <cell r="A1442">
            <v>1439</v>
          </cell>
          <cell r="C1442">
            <v>3713001122</v>
          </cell>
          <cell r="D1442" t="str">
            <v>临沂金雀山の机架-5</v>
          </cell>
        </row>
        <row r="1443">
          <cell r="A1443">
            <v>1440</v>
          </cell>
          <cell r="C1443">
            <v>3713001123</v>
          </cell>
          <cell r="D1443" t="str">
            <v>临沂金雀山の机架-6</v>
          </cell>
        </row>
        <row r="1444">
          <cell r="A1444">
            <v>1441</v>
          </cell>
          <cell r="C1444">
            <v>3713001131</v>
          </cell>
          <cell r="D1444" t="str">
            <v>临沂金雀山の机架-7</v>
          </cell>
        </row>
        <row r="1445">
          <cell r="A1445">
            <v>1442</v>
          </cell>
          <cell r="C1445">
            <v>3713001132</v>
          </cell>
          <cell r="D1445" t="str">
            <v>临沂金雀山の机架-8</v>
          </cell>
        </row>
        <row r="1446">
          <cell r="A1446">
            <v>1443</v>
          </cell>
          <cell r="C1446">
            <v>3713001133</v>
          </cell>
          <cell r="D1446" t="str">
            <v>临沂金雀山の机架-9</v>
          </cell>
        </row>
        <row r="1447">
          <cell r="A1447">
            <v>1444</v>
          </cell>
          <cell r="C1447">
            <v>3713001211</v>
          </cell>
          <cell r="D1447" t="str">
            <v>临沂金雀山の机架-10</v>
          </cell>
        </row>
        <row r="1448">
          <cell r="A1448">
            <v>1445</v>
          </cell>
          <cell r="C1448">
            <v>3713001212</v>
          </cell>
          <cell r="D1448" t="str">
            <v>临沂金雀山の机架-11</v>
          </cell>
        </row>
        <row r="1449">
          <cell r="A1449">
            <v>1446</v>
          </cell>
          <cell r="C1449">
            <v>3713001213</v>
          </cell>
          <cell r="D1449" t="str">
            <v>临沂金雀山の机架-12</v>
          </cell>
        </row>
        <row r="1450">
          <cell r="A1450">
            <v>1447</v>
          </cell>
          <cell r="C1450">
            <v>3713001221</v>
          </cell>
          <cell r="D1450" t="str">
            <v>临沂金雀山の机架-13</v>
          </cell>
        </row>
        <row r="1451">
          <cell r="A1451">
            <v>1448</v>
          </cell>
          <cell r="C1451">
            <v>3713001222</v>
          </cell>
          <cell r="D1451" t="str">
            <v>临沂金雀山の机架-14</v>
          </cell>
        </row>
        <row r="1452">
          <cell r="A1452">
            <v>1449</v>
          </cell>
          <cell r="C1452">
            <v>3713001223</v>
          </cell>
          <cell r="D1452" t="str">
            <v>临沂金雀山の机架-15</v>
          </cell>
        </row>
        <row r="1453">
          <cell r="A1453">
            <v>1450</v>
          </cell>
          <cell r="C1453">
            <v>3713001231</v>
          </cell>
          <cell r="D1453" t="str">
            <v>临沂金雀山の机架-16</v>
          </cell>
        </row>
        <row r="1454">
          <cell r="A1454">
            <v>1451</v>
          </cell>
          <cell r="C1454">
            <v>3713001232</v>
          </cell>
          <cell r="D1454" t="str">
            <v>临沂金雀山の机架-17</v>
          </cell>
        </row>
        <row r="1455">
          <cell r="A1455">
            <v>1452</v>
          </cell>
          <cell r="C1455">
            <v>3713001233</v>
          </cell>
          <cell r="D1455" t="str">
            <v>临沂金雀山の机架-18</v>
          </cell>
        </row>
        <row r="1456">
          <cell r="A1456">
            <v>1453</v>
          </cell>
          <cell r="C1456">
            <v>3713002111</v>
          </cell>
          <cell r="D1456" t="str">
            <v>临沂沂蒙路201局の机架-1</v>
          </cell>
        </row>
        <row r="1457">
          <cell r="A1457">
            <v>1454</v>
          </cell>
          <cell r="C1457">
            <v>3713002112</v>
          </cell>
          <cell r="D1457" t="str">
            <v>临沂沂蒙路201局の机架-2</v>
          </cell>
        </row>
        <row r="1458">
          <cell r="A1458">
            <v>1455</v>
          </cell>
          <cell r="C1458">
            <v>3713002113</v>
          </cell>
          <cell r="D1458" t="str">
            <v>临沂沂蒙路201局の机架-3</v>
          </cell>
        </row>
        <row r="1459">
          <cell r="A1459">
            <v>1456</v>
          </cell>
          <cell r="C1459">
            <v>3713002121</v>
          </cell>
          <cell r="D1459" t="str">
            <v>临沂沂蒙路201局の机架-4</v>
          </cell>
        </row>
        <row r="1460">
          <cell r="A1460">
            <v>1457</v>
          </cell>
          <cell r="C1460">
            <v>3713002122</v>
          </cell>
          <cell r="D1460" t="str">
            <v>临沂沂蒙路201局の机架-5</v>
          </cell>
        </row>
        <row r="1461">
          <cell r="A1461">
            <v>1458</v>
          </cell>
          <cell r="C1461">
            <v>3713002123</v>
          </cell>
          <cell r="D1461" t="str">
            <v>临沂沂蒙路201局の机架-6</v>
          </cell>
        </row>
        <row r="1462">
          <cell r="A1462">
            <v>1459</v>
          </cell>
          <cell r="C1462">
            <v>3713002131</v>
          </cell>
          <cell r="D1462" t="str">
            <v>临沂沂蒙路201局の机架-7</v>
          </cell>
        </row>
        <row r="1463">
          <cell r="A1463">
            <v>1460</v>
          </cell>
          <cell r="C1463">
            <v>3713002132</v>
          </cell>
          <cell r="D1463" t="str">
            <v>临沂沂蒙路201局の机架-8</v>
          </cell>
        </row>
        <row r="1464">
          <cell r="A1464">
            <v>1461</v>
          </cell>
          <cell r="C1464">
            <v>3713002133</v>
          </cell>
          <cell r="D1464" t="str">
            <v>临沂沂蒙路201局の机架-9</v>
          </cell>
        </row>
        <row r="1465">
          <cell r="A1465">
            <v>1462</v>
          </cell>
          <cell r="C1465">
            <v>3713003111</v>
          </cell>
          <cell r="D1465" t="str">
            <v>临沂沂蒙路の机架-1</v>
          </cell>
        </row>
        <row r="1466">
          <cell r="A1466">
            <v>1463</v>
          </cell>
          <cell r="C1466">
            <v>3713003112</v>
          </cell>
          <cell r="D1466" t="str">
            <v>临沂沂蒙路の机架-2</v>
          </cell>
        </row>
        <row r="1467">
          <cell r="A1467">
            <v>1464</v>
          </cell>
          <cell r="C1467">
            <v>3713003113</v>
          </cell>
          <cell r="D1467" t="str">
            <v>临沂沂蒙路の机架-3</v>
          </cell>
        </row>
        <row r="1468">
          <cell r="A1468">
            <v>1465</v>
          </cell>
          <cell r="C1468">
            <v>3713003121</v>
          </cell>
          <cell r="D1468" t="str">
            <v>临沂沂蒙路の机架-4</v>
          </cell>
        </row>
        <row r="1469">
          <cell r="A1469">
            <v>1466</v>
          </cell>
          <cell r="C1469">
            <v>3713003122</v>
          </cell>
          <cell r="D1469" t="str">
            <v>临沂沂蒙路の机架-5</v>
          </cell>
        </row>
        <row r="1470">
          <cell r="A1470">
            <v>1467</v>
          </cell>
          <cell r="C1470">
            <v>3713003123</v>
          </cell>
          <cell r="D1470" t="str">
            <v>临沂沂蒙路の机架-6</v>
          </cell>
        </row>
        <row r="1471">
          <cell r="A1471">
            <v>1468</v>
          </cell>
          <cell r="C1471">
            <v>3713003131</v>
          </cell>
          <cell r="D1471" t="str">
            <v>临沂沂蒙路の机架-7</v>
          </cell>
        </row>
        <row r="1472">
          <cell r="A1472">
            <v>1469</v>
          </cell>
          <cell r="C1472">
            <v>3713003132</v>
          </cell>
          <cell r="D1472" t="str">
            <v>临沂沂蒙路の机架-8</v>
          </cell>
        </row>
        <row r="1473">
          <cell r="A1473">
            <v>1470</v>
          </cell>
          <cell r="C1473">
            <v>3713003133</v>
          </cell>
          <cell r="D1473" t="str">
            <v>临沂沂蒙路の机架-9</v>
          </cell>
        </row>
        <row r="1474">
          <cell r="A1474">
            <v>1471</v>
          </cell>
          <cell r="C1474">
            <v>3713004111</v>
          </cell>
          <cell r="D1474" t="str">
            <v>平邑老局の机架-1</v>
          </cell>
        </row>
        <row r="1475">
          <cell r="A1475">
            <v>1472</v>
          </cell>
          <cell r="C1475">
            <v>3713004112</v>
          </cell>
          <cell r="D1475" t="str">
            <v>平邑老局の机架-2</v>
          </cell>
        </row>
        <row r="1476">
          <cell r="A1476">
            <v>1473</v>
          </cell>
          <cell r="C1476">
            <v>3713004113</v>
          </cell>
          <cell r="D1476" t="str">
            <v>平邑老局の机架-3</v>
          </cell>
        </row>
        <row r="1477">
          <cell r="A1477">
            <v>1474</v>
          </cell>
          <cell r="C1477">
            <v>3713004121</v>
          </cell>
          <cell r="D1477" t="str">
            <v>平邑老局の机架-4</v>
          </cell>
        </row>
        <row r="1478">
          <cell r="A1478">
            <v>1475</v>
          </cell>
          <cell r="C1478">
            <v>3713004122</v>
          </cell>
          <cell r="D1478" t="str">
            <v>平邑老局の机架-5</v>
          </cell>
        </row>
        <row r="1479">
          <cell r="A1479">
            <v>1476</v>
          </cell>
          <cell r="C1479">
            <v>3713004123</v>
          </cell>
          <cell r="D1479" t="str">
            <v>平邑老局の机架-6</v>
          </cell>
        </row>
        <row r="1480">
          <cell r="A1480">
            <v>1477</v>
          </cell>
          <cell r="C1480">
            <v>3713004131</v>
          </cell>
          <cell r="D1480" t="str">
            <v>平邑老局の机架-7</v>
          </cell>
        </row>
        <row r="1481">
          <cell r="A1481">
            <v>1478</v>
          </cell>
          <cell r="C1481">
            <v>3713004132</v>
          </cell>
          <cell r="D1481" t="str">
            <v>平邑老局の机架-8</v>
          </cell>
        </row>
        <row r="1482">
          <cell r="A1482">
            <v>1479</v>
          </cell>
          <cell r="C1482">
            <v>3713004133</v>
          </cell>
          <cell r="D1482" t="str">
            <v>平邑老局の机架-9</v>
          </cell>
        </row>
        <row r="1483">
          <cell r="A1483">
            <v>1480</v>
          </cell>
          <cell r="C1483">
            <v>3713005111</v>
          </cell>
          <cell r="D1483" t="str">
            <v>费县和平路の机架-1</v>
          </cell>
        </row>
        <row r="1484">
          <cell r="A1484">
            <v>1481</v>
          </cell>
          <cell r="C1484">
            <v>3713005112</v>
          </cell>
          <cell r="D1484" t="str">
            <v>费县和平路の机架-2</v>
          </cell>
        </row>
        <row r="1485">
          <cell r="A1485">
            <v>1482</v>
          </cell>
          <cell r="C1485">
            <v>3713005113</v>
          </cell>
          <cell r="D1485" t="str">
            <v>费县和平路の机架-3</v>
          </cell>
        </row>
        <row r="1486">
          <cell r="A1486">
            <v>1483</v>
          </cell>
          <cell r="C1486">
            <v>3713005121</v>
          </cell>
          <cell r="D1486" t="str">
            <v>费县和平路の机架-4</v>
          </cell>
        </row>
        <row r="1487">
          <cell r="A1487">
            <v>1484</v>
          </cell>
          <cell r="C1487">
            <v>3713005122</v>
          </cell>
          <cell r="D1487" t="str">
            <v>费县和平路の机架-5</v>
          </cell>
        </row>
        <row r="1488">
          <cell r="A1488">
            <v>1485</v>
          </cell>
          <cell r="C1488">
            <v>3713005123</v>
          </cell>
          <cell r="D1488" t="str">
            <v>费县和平路の机架-6</v>
          </cell>
        </row>
        <row r="1489">
          <cell r="A1489">
            <v>1486</v>
          </cell>
          <cell r="C1489">
            <v>3713005131</v>
          </cell>
          <cell r="D1489" t="str">
            <v>费县和平路の机架-7</v>
          </cell>
        </row>
        <row r="1490">
          <cell r="A1490">
            <v>1487</v>
          </cell>
          <cell r="C1490">
            <v>3713005132</v>
          </cell>
          <cell r="D1490" t="str">
            <v>费县和平路の机架-8</v>
          </cell>
        </row>
        <row r="1491">
          <cell r="A1491">
            <v>1488</v>
          </cell>
          <cell r="C1491">
            <v>3713005133</v>
          </cell>
          <cell r="D1491" t="str">
            <v>费县和平路の机架-9</v>
          </cell>
        </row>
        <row r="1492">
          <cell r="A1492">
            <v>1489</v>
          </cell>
          <cell r="C1492">
            <v>3713006111</v>
          </cell>
          <cell r="D1492" t="str">
            <v>沂水马站の机架-1</v>
          </cell>
        </row>
        <row r="1493">
          <cell r="A1493">
            <v>1490</v>
          </cell>
          <cell r="C1493">
            <v>3713006112</v>
          </cell>
          <cell r="D1493" t="str">
            <v>沂水马站の机架-2</v>
          </cell>
        </row>
        <row r="1494">
          <cell r="A1494">
            <v>1491</v>
          </cell>
          <cell r="C1494">
            <v>3713006113</v>
          </cell>
          <cell r="D1494" t="str">
            <v>沂水马站の机架-3</v>
          </cell>
        </row>
        <row r="1495">
          <cell r="A1495">
            <v>1492</v>
          </cell>
          <cell r="C1495">
            <v>3713006121</v>
          </cell>
          <cell r="D1495" t="str">
            <v>沂水马站の机架-4</v>
          </cell>
        </row>
        <row r="1496">
          <cell r="A1496">
            <v>1493</v>
          </cell>
          <cell r="C1496">
            <v>3713006122</v>
          </cell>
          <cell r="D1496" t="str">
            <v>沂水马站の机架-5</v>
          </cell>
        </row>
        <row r="1497">
          <cell r="A1497">
            <v>1494</v>
          </cell>
          <cell r="C1497">
            <v>3713006123</v>
          </cell>
          <cell r="D1497" t="str">
            <v>沂水马站の机架-6</v>
          </cell>
        </row>
        <row r="1498">
          <cell r="A1498">
            <v>1495</v>
          </cell>
          <cell r="C1498">
            <v>3713006131</v>
          </cell>
          <cell r="D1498" t="str">
            <v>沂水马站の机架-7</v>
          </cell>
        </row>
        <row r="1499">
          <cell r="A1499">
            <v>1496</v>
          </cell>
          <cell r="C1499">
            <v>3713006132</v>
          </cell>
          <cell r="D1499" t="str">
            <v>沂水马站の机架-8</v>
          </cell>
        </row>
        <row r="1500">
          <cell r="A1500">
            <v>1497</v>
          </cell>
          <cell r="C1500">
            <v>3713006133</v>
          </cell>
          <cell r="D1500" t="str">
            <v>沂水马站の机架-9</v>
          </cell>
        </row>
        <row r="1501">
          <cell r="A1501">
            <v>1498</v>
          </cell>
          <cell r="C1501">
            <v>3713007111</v>
          </cell>
          <cell r="D1501" t="str">
            <v>沂水中心街の机架-1</v>
          </cell>
        </row>
        <row r="1502">
          <cell r="A1502">
            <v>1499</v>
          </cell>
          <cell r="C1502">
            <v>3713007112</v>
          </cell>
          <cell r="D1502" t="str">
            <v>沂水中心街の机架-2</v>
          </cell>
        </row>
        <row r="1503">
          <cell r="A1503">
            <v>1500</v>
          </cell>
          <cell r="C1503">
            <v>3713007113</v>
          </cell>
          <cell r="D1503" t="str">
            <v>沂水中心街の机架-3</v>
          </cell>
        </row>
        <row r="1504">
          <cell r="A1504">
            <v>1501</v>
          </cell>
          <cell r="C1504">
            <v>3713007121</v>
          </cell>
          <cell r="D1504" t="str">
            <v>沂水中心街の机架-4</v>
          </cell>
        </row>
        <row r="1505">
          <cell r="A1505">
            <v>1502</v>
          </cell>
          <cell r="C1505">
            <v>3713007122</v>
          </cell>
          <cell r="D1505" t="str">
            <v>沂水中心街の机架-5</v>
          </cell>
        </row>
        <row r="1506">
          <cell r="A1506">
            <v>1503</v>
          </cell>
          <cell r="C1506">
            <v>3713007123</v>
          </cell>
          <cell r="D1506" t="str">
            <v>沂水中心街の机架-6</v>
          </cell>
        </row>
        <row r="1507">
          <cell r="A1507">
            <v>1504</v>
          </cell>
          <cell r="C1507">
            <v>3713007131</v>
          </cell>
          <cell r="D1507" t="str">
            <v>沂水中心街の机架-7</v>
          </cell>
        </row>
        <row r="1508">
          <cell r="A1508">
            <v>1505</v>
          </cell>
          <cell r="C1508">
            <v>3713007132</v>
          </cell>
          <cell r="D1508" t="str">
            <v>沂水中心街の机架-8</v>
          </cell>
        </row>
        <row r="1509">
          <cell r="A1509">
            <v>1506</v>
          </cell>
          <cell r="C1509">
            <v>3713007133</v>
          </cell>
          <cell r="D1509" t="str">
            <v>沂水中心街の机架-9</v>
          </cell>
        </row>
        <row r="1510">
          <cell r="A1510">
            <v>1507</v>
          </cell>
          <cell r="C1510">
            <v>3713008111</v>
          </cell>
          <cell r="D1510" t="str">
            <v>河东汤头の机架-1</v>
          </cell>
        </row>
        <row r="1511">
          <cell r="A1511">
            <v>1508</v>
          </cell>
          <cell r="C1511">
            <v>3713008112</v>
          </cell>
          <cell r="D1511" t="str">
            <v>河东汤头の机架-2</v>
          </cell>
        </row>
        <row r="1512">
          <cell r="A1512">
            <v>1509</v>
          </cell>
          <cell r="C1512">
            <v>3713008113</v>
          </cell>
          <cell r="D1512" t="str">
            <v>河东汤头の机架-3</v>
          </cell>
        </row>
        <row r="1513">
          <cell r="A1513">
            <v>1510</v>
          </cell>
          <cell r="C1513">
            <v>3713008121</v>
          </cell>
          <cell r="D1513" t="str">
            <v>河东汤头の机架-4</v>
          </cell>
        </row>
        <row r="1514">
          <cell r="A1514">
            <v>1511</v>
          </cell>
          <cell r="C1514">
            <v>3713008122</v>
          </cell>
          <cell r="D1514" t="str">
            <v>河东汤头の机架-5</v>
          </cell>
        </row>
        <row r="1515">
          <cell r="A1515">
            <v>1512</v>
          </cell>
          <cell r="C1515">
            <v>3713008123</v>
          </cell>
          <cell r="D1515" t="str">
            <v>河东汤头の机架-6</v>
          </cell>
        </row>
        <row r="1516">
          <cell r="A1516">
            <v>1513</v>
          </cell>
          <cell r="C1516">
            <v>3713008131</v>
          </cell>
          <cell r="D1516" t="str">
            <v>河东汤头の机架-7</v>
          </cell>
        </row>
        <row r="1517">
          <cell r="A1517">
            <v>1514</v>
          </cell>
          <cell r="C1517">
            <v>3713008132</v>
          </cell>
          <cell r="D1517" t="str">
            <v>河东汤头の机架-8</v>
          </cell>
        </row>
        <row r="1518">
          <cell r="A1518">
            <v>1515</v>
          </cell>
          <cell r="C1518">
            <v>3713008133</v>
          </cell>
          <cell r="D1518" t="str">
            <v>河东汤头の机架-9</v>
          </cell>
        </row>
        <row r="1519">
          <cell r="A1519">
            <v>1516</v>
          </cell>
          <cell r="C1519">
            <v>3713009111</v>
          </cell>
          <cell r="D1519" t="str">
            <v>沂南花山路の机架-1</v>
          </cell>
        </row>
        <row r="1520">
          <cell r="A1520">
            <v>1517</v>
          </cell>
          <cell r="C1520">
            <v>3713009112</v>
          </cell>
          <cell r="D1520" t="str">
            <v>沂南花山路の机架-2</v>
          </cell>
        </row>
        <row r="1521">
          <cell r="A1521">
            <v>1518</v>
          </cell>
          <cell r="C1521">
            <v>3713009113</v>
          </cell>
          <cell r="D1521" t="str">
            <v>沂南花山路の机架-3</v>
          </cell>
        </row>
        <row r="1522">
          <cell r="A1522">
            <v>1519</v>
          </cell>
          <cell r="C1522">
            <v>3713009121</v>
          </cell>
          <cell r="D1522" t="str">
            <v>沂南花山路の机架-4</v>
          </cell>
        </row>
        <row r="1523">
          <cell r="A1523">
            <v>1520</v>
          </cell>
          <cell r="C1523">
            <v>3713009122</v>
          </cell>
          <cell r="D1523" t="str">
            <v>沂南花山路の机架-5</v>
          </cell>
        </row>
        <row r="1524">
          <cell r="A1524">
            <v>1521</v>
          </cell>
          <cell r="C1524">
            <v>3713009123</v>
          </cell>
          <cell r="D1524" t="str">
            <v>沂南花山路の机架-6</v>
          </cell>
        </row>
        <row r="1525">
          <cell r="A1525">
            <v>1522</v>
          </cell>
          <cell r="C1525">
            <v>3713009131</v>
          </cell>
          <cell r="D1525" t="str">
            <v>沂南花山路の机架-7</v>
          </cell>
        </row>
        <row r="1526">
          <cell r="A1526">
            <v>1523</v>
          </cell>
          <cell r="C1526">
            <v>3713009132</v>
          </cell>
          <cell r="D1526" t="str">
            <v>沂南花山路の机架-8</v>
          </cell>
        </row>
        <row r="1527">
          <cell r="A1527">
            <v>1524</v>
          </cell>
          <cell r="C1527">
            <v>3713009133</v>
          </cell>
          <cell r="D1527" t="str">
            <v>沂南花山路の机架-9</v>
          </cell>
        </row>
        <row r="1528">
          <cell r="A1528">
            <v>1525</v>
          </cell>
          <cell r="C1528">
            <v>3713010111</v>
          </cell>
          <cell r="D1528" t="str">
            <v>沂南_苏村_牛家小河基站の机架-1</v>
          </cell>
        </row>
        <row r="1529">
          <cell r="A1529">
            <v>1526</v>
          </cell>
          <cell r="C1529">
            <v>3713010112</v>
          </cell>
          <cell r="D1529" t="str">
            <v>沂南_苏村_牛家小河基站の机架-2</v>
          </cell>
        </row>
        <row r="1530">
          <cell r="A1530">
            <v>1527</v>
          </cell>
          <cell r="C1530">
            <v>3713010113</v>
          </cell>
          <cell r="D1530" t="str">
            <v>沂南_苏村_牛家小河基站の机架-3</v>
          </cell>
        </row>
        <row r="1531">
          <cell r="A1531">
            <v>1528</v>
          </cell>
          <cell r="C1531">
            <v>3713010121</v>
          </cell>
          <cell r="D1531" t="str">
            <v>沂南_苏村_牛家小河基站の机架-4</v>
          </cell>
        </row>
        <row r="1532">
          <cell r="A1532">
            <v>1529</v>
          </cell>
          <cell r="C1532">
            <v>3713010122</v>
          </cell>
          <cell r="D1532" t="str">
            <v>沂南_苏村_牛家小河基站の机架-5</v>
          </cell>
        </row>
        <row r="1533">
          <cell r="A1533">
            <v>1530</v>
          </cell>
          <cell r="C1533">
            <v>3713010123</v>
          </cell>
          <cell r="D1533" t="str">
            <v>沂南_苏村_牛家小河基站の机架-6</v>
          </cell>
        </row>
        <row r="1534">
          <cell r="A1534">
            <v>1531</v>
          </cell>
          <cell r="C1534">
            <v>3713010131</v>
          </cell>
          <cell r="D1534" t="str">
            <v>沂南_苏村_牛家小河基站の机架-7</v>
          </cell>
        </row>
        <row r="1535">
          <cell r="A1535">
            <v>1532</v>
          </cell>
          <cell r="C1535">
            <v>3713010132</v>
          </cell>
          <cell r="D1535" t="str">
            <v>沂南_苏村_牛家小河基站の机架-8</v>
          </cell>
        </row>
        <row r="1536">
          <cell r="A1536">
            <v>1533</v>
          </cell>
          <cell r="C1536">
            <v>3713010133</v>
          </cell>
          <cell r="D1536" t="str">
            <v>沂南_苏村_牛家小河基站の机架-9</v>
          </cell>
        </row>
        <row r="1537">
          <cell r="A1537">
            <v>1534</v>
          </cell>
          <cell r="C1537">
            <v>3713011111</v>
          </cell>
          <cell r="D1537" t="str">
            <v>苍山塔山路の机架-1</v>
          </cell>
        </row>
        <row r="1538">
          <cell r="A1538">
            <v>1535</v>
          </cell>
          <cell r="C1538">
            <v>3713011112</v>
          </cell>
          <cell r="D1538" t="str">
            <v>苍山塔山路の机架-2</v>
          </cell>
        </row>
        <row r="1539">
          <cell r="A1539">
            <v>1536</v>
          </cell>
          <cell r="C1539">
            <v>3713011113</v>
          </cell>
          <cell r="D1539" t="str">
            <v>苍山塔山路の机架-3</v>
          </cell>
        </row>
        <row r="1540">
          <cell r="A1540">
            <v>1537</v>
          </cell>
          <cell r="C1540">
            <v>3713011121</v>
          </cell>
          <cell r="D1540" t="str">
            <v>苍山塔山路の机架-4</v>
          </cell>
        </row>
        <row r="1541">
          <cell r="A1541">
            <v>1538</v>
          </cell>
          <cell r="C1541">
            <v>3713011122</v>
          </cell>
          <cell r="D1541" t="str">
            <v>苍山塔山路の机架-5</v>
          </cell>
        </row>
        <row r="1542">
          <cell r="A1542">
            <v>1539</v>
          </cell>
          <cell r="C1542">
            <v>3713011123</v>
          </cell>
          <cell r="D1542" t="str">
            <v>苍山塔山路の机架-6</v>
          </cell>
        </row>
        <row r="1543">
          <cell r="A1543">
            <v>1540</v>
          </cell>
          <cell r="C1543">
            <v>3713011131</v>
          </cell>
          <cell r="D1543" t="str">
            <v>苍山塔山路の机架-7</v>
          </cell>
        </row>
        <row r="1544">
          <cell r="A1544">
            <v>1541</v>
          </cell>
          <cell r="C1544">
            <v>3713011132</v>
          </cell>
          <cell r="D1544" t="str">
            <v>苍山塔山路の机架-8</v>
          </cell>
        </row>
        <row r="1545">
          <cell r="A1545">
            <v>1542</v>
          </cell>
          <cell r="C1545">
            <v>3713011133</v>
          </cell>
          <cell r="D1545" t="str">
            <v>苍山塔山路の机架-9</v>
          </cell>
        </row>
        <row r="1546">
          <cell r="A1546">
            <v>1543</v>
          </cell>
          <cell r="C1546">
            <v>3713012111</v>
          </cell>
          <cell r="D1546" t="str">
            <v>莒南十泉路の机架-1</v>
          </cell>
        </row>
        <row r="1547">
          <cell r="A1547">
            <v>1544</v>
          </cell>
          <cell r="C1547">
            <v>3713012112</v>
          </cell>
          <cell r="D1547" t="str">
            <v>莒南十泉路の机架-2</v>
          </cell>
        </row>
        <row r="1548">
          <cell r="A1548">
            <v>1545</v>
          </cell>
          <cell r="C1548">
            <v>3713012113</v>
          </cell>
          <cell r="D1548" t="str">
            <v>莒南十泉路の机架-3</v>
          </cell>
        </row>
        <row r="1549">
          <cell r="A1549">
            <v>1546</v>
          </cell>
          <cell r="C1549">
            <v>3713012121</v>
          </cell>
          <cell r="D1549" t="str">
            <v>莒南十泉路の机架-4</v>
          </cell>
        </row>
        <row r="1550">
          <cell r="A1550">
            <v>1547</v>
          </cell>
          <cell r="C1550">
            <v>3713012122</v>
          </cell>
          <cell r="D1550" t="str">
            <v>莒南十泉路の机架-5</v>
          </cell>
        </row>
        <row r="1551">
          <cell r="A1551">
            <v>1548</v>
          </cell>
          <cell r="C1551">
            <v>3713012123</v>
          </cell>
          <cell r="D1551" t="str">
            <v>莒南十泉路の机架-6</v>
          </cell>
        </row>
        <row r="1552">
          <cell r="A1552">
            <v>1549</v>
          </cell>
          <cell r="C1552">
            <v>3713012131</v>
          </cell>
          <cell r="D1552" t="str">
            <v>莒南十泉路の机架-7</v>
          </cell>
        </row>
        <row r="1553">
          <cell r="A1553">
            <v>1550</v>
          </cell>
          <cell r="C1553">
            <v>3713012132</v>
          </cell>
          <cell r="D1553" t="str">
            <v>莒南十泉路の机架-8</v>
          </cell>
        </row>
        <row r="1554">
          <cell r="A1554">
            <v>1551</v>
          </cell>
          <cell r="C1554">
            <v>3713012133</v>
          </cell>
          <cell r="D1554" t="str">
            <v>莒南十泉路の机架-9</v>
          </cell>
        </row>
        <row r="1555">
          <cell r="A1555">
            <v>1552</v>
          </cell>
          <cell r="C1555">
            <v>3713013111</v>
          </cell>
          <cell r="D1555" t="str">
            <v>莒南滨海路の机架-1</v>
          </cell>
        </row>
        <row r="1556">
          <cell r="A1556">
            <v>1553</v>
          </cell>
          <cell r="C1556">
            <v>3713013112</v>
          </cell>
          <cell r="D1556" t="str">
            <v>莒南滨海路の机架-2</v>
          </cell>
        </row>
        <row r="1557">
          <cell r="A1557">
            <v>1554</v>
          </cell>
          <cell r="C1557">
            <v>3713013113</v>
          </cell>
          <cell r="D1557" t="str">
            <v>莒南滨海路の机架-3</v>
          </cell>
        </row>
        <row r="1558">
          <cell r="A1558">
            <v>1555</v>
          </cell>
          <cell r="C1558">
            <v>3713013121</v>
          </cell>
          <cell r="D1558" t="str">
            <v>莒南滨海路の机架-4</v>
          </cell>
        </row>
        <row r="1559">
          <cell r="A1559">
            <v>1556</v>
          </cell>
          <cell r="C1559">
            <v>3713013122</v>
          </cell>
          <cell r="D1559" t="str">
            <v>莒南滨海路の机架-5</v>
          </cell>
        </row>
        <row r="1560">
          <cell r="A1560">
            <v>1557</v>
          </cell>
          <cell r="C1560">
            <v>3713013123</v>
          </cell>
          <cell r="D1560" t="str">
            <v>莒南滨海路の机架-6</v>
          </cell>
        </row>
        <row r="1561">
          <cell r="A1561">
            <v>1558</v>
          </cell>
          <cell r="C1561">
            <v>3713013131</v>
          </cell>
          <cell r="D1561" t="str">
            <v>莒南滨海路の机架-7</v>
          </cell>
        </row>
        <row r="1562">
          <cell r="A1562">
            <v>1559</v>
          </cell>
          <cell r="C1562">
            <v>3713013132</v>
          </cell>
          <cell r="D1562" t="str">
            <v>莒南滨海路の机架-8</v>
          </cell>
        </row>
        <row r="1563">
          <cell r="A1563">
            <v>1560</v>
          </cell>
          <cell r="C1563">
            <v>3713013133</v>
          </cell>
          <cell r="D1563" t="str">
            <v>莒南滨海路の机架-9</v>
          </cell>
        </row>
        <row r="1564">
          <cell r="A1564">
            <v>1561</v>
          </cell>
          <cell r="C1564">
            <v>3713014111</v>
          </cell>
          <cell r="D1564" t="str">
            <v>蒙阴新城路の机架-1</v>
          </cell>
        </row>
        <row r="1565">
          <cell r="A1565">
            <v>1562</v>
          </cell>
          <cell r="C1565">
            <v>3713014112</v>
          </cell>
          <cell r="D1565" t="str">
            <v>蒙阴新城路の机架-2</v>
          </cell>
        </row>
        <row r="1566">
          <cell r="A1566">
            <v>1563</v>
          </cell>
          <cell r="C1566">
            <v>3713014113</v>
          </cell>
          <cell r="D1566" t="str">
            <v>蒙阴新城路の机架-3</v>
          </cell>
        </row>
        <row r="1567">
          <cell r="A1567">
            <v>1564</v>
          </cell>
          <cell r="C1567">
            <v>3713014121</v>
          </cell>
          <cell r="D1567" t="str">
            <v>蒙阴新城路の机架-4</v>
          </cell>
        </row>
        <row r="1568">
          <cell r="A1568">
            <v>1565</v>
          </cell>
          <cell r="C1568">
            <v>3713014122</v>
          </cell>
          <cell r="D1568" t="str">
            <v>蒙阴新城路の机架-5</v>
          </cell>
        </row>
        <row r="1569">
          <cell r="A1569">
            <v>1566</v>
          </cell>
          <cell r="C1569">
            <v>3713014123</v>
          </cell>
          <cell r="D1569" t="str">
            <v>蒙阴新城路の机架-6</v>
          </cell>
        </row>
        <row r="1570">
          <cell r="A1570">
            <v>1567</v>
          </cell>
          <cell r="C1570">
            <v>3713014131</v>
          </cell>
          <cell r="D1570" t="str">
            <v>蒙阴新城路の机架-7</v>
          </cell>
        </row>
        <row r="1571">
          <cell r="A1571">
            <v>1568</v>
          </cell>
          <cell r="C1571">
            <v>3713014132</v>
          </cell>
          <cell r="D1571" t="str">
            <v>蒙阴新城路の机架-8</v>
          </cell>
        </row>
        <row r="1572">
          <cell r="A1572">
            <v>1569</v>
          </cell>
          <cell r="C1572">
            <v>3713014133</v>
          </cell>
          <cell r="D1572" t="str">
            <v>蒙阴新城路の机架-9</v>
          </cell>
        </row>
        <row r="1573">
          <cell r="A1573">
            <v>1570</v>
          </cell>
          <cell r="C1573">
            <v>3717001111</v>
          </cell>
          <cell r="D1573" t="str">
            <v>菏泽中华路老局の机架-1</v>
          </cell>
        </row>
        <row r="1574">
          <cell r="A1574">
            <v>1571</v>
          </cell>
          <cell r="C1574">
            <v>3717001112</v>
          </cell>
          <cell r="D1574" t="str">
            <v>菏泽中华路老局の机架-2</v>
          </cell>
        </row>
        <row r="1575">
          <cell r="A1575">
            <v>1572</v>
          </cell>
          <cell r="C1575">
            <v>3717001113</v>
          </cell>
          <cell r="D1575" t="str">
            <v>菏泽中华路老局の机架-3</v>
          </cell>
        </row>
        <row r="1576">
          <cell r="A1576">
            <v>1573</v>
          </cell>
          <cell r="C1576">
            <v>3717001121</v>
          </cell>
          <cell r="D1576" t="str">
            <v>菏泽中华路老局の机架-4</v>
          </cell>
        </row>
        <row r="1577">
          <cell r="A1577">
            <v>1574</v>
          </cell>
          <cell r="C1577">
            <v>3717001122</v>
          </cell>
          <cell r="D1577" t="str">
            <v>菏泽中华路老局の机架-5</v>
          </cell>
        </row>
        <row r="1578">
          <cell r="A1578">
            <v>1575</v>
          </cell>
          <cell r="C1578">
            <v>3717001123</v>
          </cell>
          <cell r="D1578" t="str">
            <v>菏泽中华路老局の机架-6</v>
          </cell>
        </row>
        <row r="1579">
          <cell r="A1579">
            <v>1576</v>
          </cell>
          <cell r="C1579">
            <v>3717001131</v>
          </cell>
          <cell r="D1579" t="str">
            <v>菏泽中华路老局の机架-7</v>
          </cell>
        </row>
        <row r="1580">
          <cell r="A1580">
            <v>1577</v>
          </cell>
          <cell r="C1580">
            <v>3717001132</v>
          </cell>
          <cell r="D1580" t="str">
            <v>菏泽中华路老局の机架-8</v>
          </cell>
        </row>
        <row r="1581">
          <cell r="A1581">
            <v>1578</v>
          </cell>
          <cell r="C1581">
            <v>3717001133</v>
          </cell>
          <cell r="D1581" t="str">
            <v>菏泽中华路老局の机架-9</v>
          </cell>
        </row>
        <row r="1582">
          <cell r="A1582">
            <v>1579</v>
          </cell>
          <cell r="C1582">
            <v>3717001211</v>
          </cell>
          <cell r="D1582" t="str">
            <v>菏泽中华路老局の机架-10</v>
          </cell>
        </row>
        <row r="1583">
          <cell r="A1583">
            <v>1580</v>
          </cell>
          <cell r="C1583">
            <v>3717001212</v>
          </cell>
          <cell r="D1583" t="str">
            <v>菏泽中华路老局の机架-11</v>
          </cell>
        </row>
        <row r="1584">
          <cell r="A1584">
            <v>1581</v>
          </cell>
          <cell r="C1584">
            <v>3717001213</v>
          </cell>
          <cell r="D1584" t="str">
            <v>菏泽中华路老局の机架-12</v>
          </cell>
        </row>
        <row r="1585">
          <cell r="A1585">
            <v>1582</v>
          </cell>
          <cell r="C1585">
            <v>3717001221</v>
          </cell>
          <cell r="D1585" t="str">
            <v>菏泽中华路老局の机架-13</v>
          </cell>
        </row>
        <row r="1586">
          <cell r="A1586">
            <v>1583</v>
          </cell>
          <cell r="C1586">
            <v>3717001222</v>
          </cell>
          <cell r="D1586" t="str">
            <v>菏泽中华路老局の机架-14</v>
          </cell>
        </row>
        <row r="1587">
          <cell r="A1587">
            <v>1584</v>
          </cell>
          <cell r="C1587">
            <v>3717001223</v>
          </cell>
          <cell r="D1587" t="str">
            <v>菏泽中华路老局の机架-15</v>
          </cell>
        </row>
        <row r="1588">
          <cell r="A1588">
            <v>1585</v>
          </cell>
          <cell r="C1588">
            <v>3717001231</v>
          </cell>
          <cell r="D1588" t="str">
            <v>菏泽中华路老局の机架-16</v>
          </cell>
        </row>
        <row r="1589">
          <cell r="A1589">
            <v>1586</v>
          </cell>
          <cell r="C1589">
            <v>3717001232</v>
          </cell>
          <cell r="D1589" t="str">
            <v>菏泽中华路老局の机架-17</v>
          </cell>
        </row>
        <row r="1590">
          <cell r="A1590">
            <v>1587</v>
          </cell>
          <cell r="C1590">
            <v>3717001233</v>
          </cell>
          <cell r="D1590" t="str">
            <v>菏泽中华路老局の机架-18</v>
          </cell>
        </row>
        <row r="1591">
          <cell r="A1591">
            <v>1588</v>
          </cell>
          <cell r="C1591">
            <v>3717002111</v>
          </cell>
          <cell r="D1591" t="str">
            <v>菏泽中华东路の机架-1</v>
          </cell>
        </row>
        <row r="1592">
          <cell r="A1592">
            <v>1589</v>
          </cell>
          <cell r="C1592">
            <v>3717002112</v>
          </cell>
          <cell r="D1592" t="str">
            <v>菏泽中华东路の机架-2</v>
          </cell>
        </row>
        <row r="1593">
          <cell r="A1593">
            <v>1590</v>
          </cell>
          <cell r="C1593">
            <v>3717002113</v>
          </cell>
          <cell r="D1593" t="str">
            <v>菏泽中华东路の机架-3</v>
          </cell>
        </row>
        <row r="1594">
          <cell r="A1594">
            <v>1591</v>
          </cell>
          <cell r="C1594">
            <v>3717002121</v>
          </cell>
          <cell r="D1594" t="str">
            <v>菏泽中华东路の机架-4</v>
          </cell>
        </row>
        <row r="1595">
          <cell r="A1595">
            <v>1592</v>
          </cell>
          <cell r="C1595">
            <v>3717002122</v>
          </cell>
          <cell r="D1595" t="str">
            <v>菏泽中华东路の机架-5</v>
          </cell>
        </row>
        <row r="1596">
          <cell r="A1596">
            <v>1593</v>
          </cell>
          <cell r="C1596">
            <v>3717002123</v>
          </cell>
          <cell r="D1596" t="str">
            <v>菏泽中华东路の机架-6</v>
          </cell>
        </row>
        <row r="1597">
          <cell r="A1597">
            <v>1594</v>
          </cell>
          <cell r="C1597">
            <v>3717002131</v>
          </cell>
          <cell r="D1597" t="str">
            <v>菏泽中华东路の机架-7</v>
          </cell>
        </row>
        <row r="1598">
          <cell r="A1598">
            <v>1595</v>
          </cell>
          <cell r="C1598">
            <v>3717002132</v>
          </cell>
          <cell r="D1598" t="str">
            <v>菏泽中华东路の机架-8</v>
          </cell>
        </row>
        <row r="1599">
          <cell r="A1599">
            <v>1596</v>
          </cell>
          <cell r="C1599">
            <v>3717002133</v>
          </cell>
          <cell r="D1599" t="str">
            <v>菏泽中华东路の机架-9</v>
          </cell>
        </row>
        <row r="1600">
          <cell r="A1600">
            <v>1597</v>
          </cell>
          <cell r="C1600">
            <v>3717003111</v>
          </cell>
          <cell r="D1600" t="str">
            <v>菏泽中华路新局の机架-1</v>
          </cell>
        </row>
        <row r="1601">
          <cell r="A1601">
            <v>1598</v>
          </cell>
          <cell r="C1601">
            <v>3717003112</v>
          </cell>
          <cell r="D1601" t="str">
            <v>菏泽中华路新局の机架-2</v>
          </cell>
        </row>
        <row r="1602">
          <cell r="A1602">
            <v>1599</v>
          </cell>
          <cell r="C1602">
            <v>3717003113</v>
          </cell>
          <cell r="D1602" t="str">
            <v>菏泽中华路新局の机架-3</v>
          </cell>
        </row>
        <row r="1603">
          <cell r="A1603">
            <v>1600</v>
          </cell>
          <cell r="C1603">
            <v>3717003121</v>
          </cell>
          <cell r="D1603" t="str">
            <v>菏泽中华路新局の机架-4</v>
          </cell>
        </row>
        <row r="1604">
          <cell r="A1604">
            <v>1601</v>
          </cell>
          <cell r="C1604">
            <v>3717003122</v>
          </cell>
          <cell r="D1604" t="str">
            <v>菏泽中华路新局の机架-5</v>
          </cell>
        </row>
        <row r="1605">
          <cell r="A1605">
            <v>1602</v>
          </cell>
          <cell r="C1605">
            <v>3717003123</v>
          </cell>
          <cell r="D1605" t="str">
            <v>菏泽中华路新局の机架-6</v>
          </cell>
        </row>
        <row r="1606">
          <cell r="A1606">
            <v>1603</v>
          </cell>
          <cell r="C1606">
            <v>3717003131</v>
          </cell>
          <cell r="D1606" t="str">
            <v>菏泽中华路新局の机架-7</v>
          </cell>
        </row>
        <row r="1607">
          <cell r="A1607">
            <v>1604</v>
          </cell>
          <cell r="C1607">
            <v>3717003132</v>
          </cell>
          <cell r="D1607" t="str">
            <v>菏泽中华路新局の机架-8</v>
          </cell>
        </row>
        <row r="1608">
          <cell r="A1608">
            <v>1605</v>
          </cell>
          <cell r="C1608">
            <v>3717003133</v>
          </cell>
          <cell r="D1608" t="str">
            <v>菏泽中华路新局の机架-9</v>
          </cell>
        </row>
        <row r="1609">
          <cell r="A1609">
            <v>1606</v>
          </cell>
          <cell r="C1609">
            <v>3717004111</v>
          </cell>
          <cell r="D1609" t="str">
            <v>郓城通信楼の机架-1</v>
          </cell>
        </row>
        <row r="1610">
          <cell r="A1610">
            <v>1607</v>
          </cell>
          <cell r="C1610">
            <v>3717004112</v>
          </cell>
          <cell r="D1610" t="str">
            <v>郓城通信楼の机架-2</v>
          </cell>
        </row>
        <row r="1611">
          <cell r="A1611">
            <v>1608</v>
          </cell>
          <cell r="C1611">
            <v>3717004113</v>
          </cell>
          <cell r="D1611" t="str">
            <v>郓城通信楼の机架-3</v>
          </cell>
        </row>
        <row r="1612">
          <cell r="A1612">
            <v>1609</v>
          </cell>
          <cell r="C1612">
            <v>3717004121</v>
          </cell>
          <cell r="D1612" t="str">
            <v>郓城通信楼の机架-4</v>
          </cell>
        </row>
        <row r="1613">
          <cell r="A1613">
            <v>1610</v>
          </cell>
          <cell r="C1613">
            <v>3717004122</v>
          </cell>
          <cell r="D1613" t="str">
            <v>郓城通信楼の机架-5</v>
          </cell>
        </row>
        <row r="1614">
          <cell r="A1614">
            <v>1611</v>
          </cell>
          <cell r="C1614">
            <v>3717004123</v>
          </cell>
          <cell r="D1614" t="str">
            <v>郓城通信楼の机架-6</v>
          </cell>
        </row>
        <row r="1615">
          <cell r="A1615">
            <v>1612</v>
          </cell>
          <cell r="C1615">
            <v>3717004131</v>
          </cell>
          <cell r="D1615" t="str">
            <v>郓城通信楼の机架-7</v>
          </cell>
        </row>
        <row r="1616">
          <cell r="A1616">
            <v>1613</v>
          </cell>
          <cell r="C1616">
            <v>3717004132</v>
          </cell>
          <cell r="D1616" t="str">
            <v>郓城通信楼の机架-8</v>
          </cell>
        </row>
        <row r="1617">
          <cell r="A1617">
            <v>1614</v>
          </cell>
          <cell r="C1617">
            <v>3717004133</v>
          </cell>
          <cell r="D1617" t="str">
            <v>郓城通信楼の机架-9</v>
          </cell>
        </row>
        <row r="1618">
          <cell r="A1618">
            <v>1615</v>
          </cell>
          <cell r="C1618">
            <v>3717005111</v>
          </cell>
          <cell r="D1618" t="str">
            <v>巨野新华路の机架-1</v>
          </cell>
        </row>
        <row r="1619">
          <cell r="A1619">
            <v>1616</v>
          </cell>
          <cell r="C1619">
            <v>3717005112</v>
          </cell>
          <cell r="D1619" t="str">
            <v>巨野新华路の机架-2</v>
          </cell>
        </row>
        <row r="1620">
          <cell r="A1620">
            <v>1617</v>
          </cell>
          <cell r="C1620">
            <v>3717005113</v>
          </cell>
          <cell r="D1620" t="str">
            <v>巨野新华路の机架-3</v>
          </cell>
        </row>
        <row r="1621">
          <cell r="A1621">
            <v>1618</v>
          </cell>
          <cell r="C1621">
            <v>3717005121</v>
          </cell>
          <cell r="D1621" t="str">
            <v>巨野新华路の机架-4</v>
          </cell>
        </row>
        <row r="1622">
          <cell r="A1622">
            <v>1619</v>
          </cell>
          <cell r="C1622">
            <v>3717005122</v>
          </cell>
          <cell r="D1622" t="str">
            <v>巨野新华路の机架-5</v>
          </cell>
        </row>
        <row r="1623">
          <cell r="A1623">
            <v>1620</v>
          </cell>
          <cell r="C1623">
            <v>3717005123</v>
          </cell>
          <cell r="D1623" t="str">
            <v>巨野新华路の机架-6</v>
          </cell>
        </row>
        <row r="1624">
          <cell r="A1624">
            <v>1621</v>
          </cell>
          <cell r="C1624">
            <v>3717005131</v>
          </cell>
          <cell r="D1624" t="str">
            <v>巨野新华路の机架-7</v>
          </cell>
        </row>
        <row r="1625">
          <cell r="A1625">
            <v>1622</v>
          </cell>
          <cell r="C1625">
            <v>3717005132</v>
          </cell>
          <cell r="D1625" t="str">
            <v>巨野新华路の机架-8</v>
          </cell>
        </row>
        <row r="1626">
          <cell r="A1626">
            <v>1623</v>
          </cell>
          <cell r="C1626">
            <v>3717005133</v>
          </cell>
          <cell r="D1626" t="str">
            <v>巨野新华路の机架-9</v>
          </cell>
        </row>
        <row r="1627">
          <cell r="A1627">
            <v>1624</v>
          </cell>
          <cell r="C1627">
            <v>3717006111</v>
          </cell>
          <cell r="D1627" t="str">
            <v>巨野の机架-1</v>
          </cell>
        </row>
        <row r="1628">
          <cell r="A1628">
            <v>1625</v>
          </cell>
          <cell r="C1628">
            <v>3717006112</v>
          </cell>
          <cell r="D1628" t="str">
            <v>巨野の机架-2</v>
          </cell>
        </row>
        <row r="1629">
          <cell r="A1629">
            <v>1626</v>
          </cell>
          <cell r="C1629">
            <v>3717006113</v>
          </cell>
          <cell r="D1629" t="str">
            <v>巨野の机架-3</v>
          </cell>
        </row>
        <row r="1630">
          <cell r="A1630">
            <v>1627</v>
          </cell>
          <cell r="C1630">
            <v>3717006121</v>
          </cell>
          <cell r="D1630" t="str">
            <v>巨野の机架-4</v>
          </cell>
        </row>
        <row r="1631">
          <cell r="A1631">
            <v>1628</v>
          </cell>
          <cell r="C1631">
            <v>3717006122</v>
          </cell>
          <cell r="D1631" t="str">
            <v>巨野の机架-5</v>
          </cell>
        </row>
        <row r="1632">
          <cell r="A1632">
            <v>1629</v>
          </cell>
          <cell r="C1632">
            <v>3717006123</v>
          </cell>
          <cell r="D1632" t="str">
            <v>巨野の机架-6</v>
          </cell>
        </row>
        <row r="1633">
          <cell r="A1633">
            <v>1630</v>
          </cell>
          <cell r="C1633">
            <v>3717006131</v>
          </cell>
          <cell r="D1633" t="str">
            <v>巨野の机架-7</v>
          </cell>
        </row>
        <row r="1634">
          <cell r="A1634">
            <v>1631</v>
          </cell>
          <cell r="C1634">
            <v>3717006132</v>
          </cell>
          <cell r="D1634" t="str">
            <v>巨野の机架-8</v>
          </cell>
        </row>
        <row r="1635">
          <cell r="A1635">
            <v>1632</v>
          </cell>
          <cell r="C1635">
            <v>3717006133</v>
          </cell>
          <cell r="D1635" t="str">
            <v>巨野の机架-9</v>
          </cell>
        </row>
        <row r="1636">
          <cell r="A1636">
            <v>1633</v>
          </cell>
          <cell r="C1636">
            <v>3717007111</v>
          </cell>
          <cell r="D1636" t="str">
            <v>程屯支局の机架-1</v>
          </cell>
        </row>
        <row r="1637">
          <cell r="A1637">
            <v>1634</v>
          </cell>
          <cell r="C1637">
            <v>3717007112</v>
          </cell>
          <cell r="D1637" t="str">
            <v>程屯支局の机架-2</v>
          </cell>
        </row>
        <row r="1638">
          <cell r="A1638">
            <v>1635</v>
          </cell>
          <cell r="C1638">
            <v>3717007113</v>
          </cell>
          <cell r="D1638" t="str">
            <v>程屯支局の机架-3</v>
          </cell>
        </row>
        <row r="1639">
          <cell r="A1639">
            <v>1636</v>
          </cell>
          <cell r="C1639">
            <v>3717007121</v>
          </cell>
          <cell r="D1639" t="str">
            <v>程屯支局の机架-4</v>
          </cell>
        </row>
        <row r="1640">
          <cell r="A1640">
            <v>1637</v>
          </cell>
          <cell r="C1640">
            <v>3717007122</v>
          </cell>
          <cell r="D1640" t="str">
            <v>程屯支局の机架-5</v>
          </cell>
        </row>
        <row r="1641">
          <cell r="A1641">
            <v>1638</v>
          </cell>
          <cell r="C1641">
            <v>3717007123</v>
          </cell>
          <cell r="D1641" t="str">
            <v>程屯支局の机架-6</v>
          </cell>
        </row>
        <row r="1642">
          <cell r="A1642">
            <v>1639</v>
          </cell>
          <cell r="C1642">
            <v>3717007131</v>
          </cell>
          <cell r="D1642" t="str">
            <v>程屯支局の机架-7</v>
          </cell>
        </row>
        <row r="1643">
          <cell r="A1643">
            <v>1640</v>
          </cell>
          <cell r="C1643">
            <v>3717007132</v>
          </cell>
          <cell r="D1643" t="str">
            <v>程屯支局の机架-8</v>
          </cell>
        </row>
        <row r="1644">
          <cell r="A1644">
            <v>1641</v>
          </cell>
          <cell r="C1644">
            <v>3717007133</v>
          </cell>
          <cell r="D1644" t="str">
            <v>程屯支局の机架-9</v>
          </cell>
        </row>
        <row r="1645">
          <cell r="A1645">
            <v>1642</v>
          </cell>
          <cell r="C1645">
            <v>3701013111</v>
          </cell>
          <cell r="D1645" t="str">
            <v>莱芜大桥路の机架-1</v>
          </cell>
        </row>
        <row r="1646">
          <cell r="A1646">
            <v>1643</v>
          </cell>
          <cell r="C1646">
            <v>3701013112</v>
          </cell>
          <cell r="D1646" t="str">
            <v>莱芜大桥路の机架-2</v>
          </cell>
        </row>
        <row r="1647">
          <cell r="A1647">
            <v>1644</v>
          </cell>
          <cell r="C1647">
            <v>3701013113</v>
          </cell>
          <cell r="D1647" t="str">
            <v>莱芜大桥路の机架-3</v>
          </cell>
        </row>
        <row r="1648">
          <cell r="A1648">
            <v>1645</v>
          </cell>
          <cell r="C1648">
            <v>3701013121</v>
          </cell>
          <cell r="D1648" t="str">
            <v>莱芜大桥路の机架-4</v>
          </cell>
        </row>
        <row r="1649">
          <cell r="A1649">
            <v>1646</v>
          </cell>
          <cell r="C1649">
            <v>3701013122</v>
          </cell>
          <cell r="D1649" t="str">
            <v>莱芜大桥路の机架-5</v>
          </cell>
        </row>
        <row r="1650">
          <cell r="A1650">
            <v>1647</v>
          </cell>
          <cell r="C1650">
            <v>3701013123</v>
          </cell>
          <cell r="D1650" t="str">
            <v>莱芜大桥路の机架-6</v>
          </cell>
        </row>
        <row r="1651">
          <cell r="A1651">
            <v>1648</v>
          </cell>
          <cell r="C1651">
            <v>3701013131</v>
          </cell>
          <cell r="D1651" t="str">
            <v>莱芜大桥路の机架-7</v>
          </cell>
        </row>
        <row r="1652">
          <cell r="A1652">
            <v>1649</v>
          </cell>
          <cell r="C1652">
            <v>3701013132</v>
          </cell>
          <cell r="D1652" t="str">
            <v>莱芜大桥路の机架-8</v>
          </cell>
        </row>
        <row r="1653">
          <cell r="A1653">
            <v>1650</v>
          </cell>
          <cell r="C1653">
            <v>3701013133</v>
          </cell>
          <cell r="D1653" t="str">
            <v>莱芜大桥路の机架-9</v>
          </cell>
        </row>
        <row r="1654">
          <cell r="A1654">
            <v>1651</v>
          </cell>
          <cell r="C1654">
            <v>3701014111</v>
          </cell>
          <cell r="D1654" t="str">
            <v>莱芜原山路の机架-1</v>
          </cell>
        </row>
        <row r="1655">
          <cell r="A1655">
            <v>1652</v>
          </cell>
          <cell r="C1655">
            <v>3701014112</v>
          </cell>
          <cell r="D1655" t="str">
            <v>莱芜原山路の机架-2</v>
          </cell>
        </row>
        <row r="1656">
          <cell r="A1656">
            <v>1653</v>
          </cell>
          <cell r="C1656">
            <v>3701014113</v>
          </cell>
          <cell r="D1656" t="str">
            <v>莱芜原山路の机架-3</v>
          </cell>
        </row>
        <row r="1657">
          <cell r="A1657">
            <v>1654</v>
          </cell>
          <cell r="C1657">
            <v>3701014121</v>
          </cell>
          <cell r="D1657" t="str">
            <v>莱芜原山路の机架-4</v>
          </cell>
        </row>
        <row r="1658">
          <cell r="A1658">
            <v>1655</v>
          </cell>
          <cell r="C1658">
            <v>3701014122</v>
          </cell>
          <cell r="D1658" t="str">
            <v>莱芜原山路の机架-5</v>
          </cell>
        </row>
        <row r="1659">
          <cell r="A1659">
            <v>1656</v>
          </cell>
          <cell r="C1659">
            <v>3701014123</v>
          </cell>
          <cell r="D1659" t="str">
            <v>莱芜原山路の机架-6</v>
          </cell>
        </row>
        <row r="1660">
          <cell r="A1660">
            <v>1657</v>
          </cell>
          <cell r="C1660">
            <v>3701014131</v>
          </cell>
          <cell r="D1660" t="str">
            <v>莱芜原山路の机架-7</v>
          </cell>
        </row>
        <row r="1661">
          <cell r="A1661">
            <v>1658</v>
          </cell>
          <cell r="C1661">
            <v>3701014132</v>
          </cell>
          <cell r="D1661" t="str">
            <v>莱芜原山路の机架-8</v>
          </cell>
        </row>
        <row r="1662">
          <cell r="A1662">
            <v>1659</v>
          </cell>
          <cell r="C1662">
            <v>3701014133</v>
          </cell>
          <cell r="D1662" t="str">
            <v>莱芜原山路の机架-9</v>
          </cell>
        </row>
        <row r="1663">
          <cell r="A1663">
            <v>1660</v>
          </cell>
          <cell r="C1663">
            <v>3701015111</v>
          </cell>
          <cell r="D1663" t="str">
            <v>齐河务头中继站の机架-1</v>
          </cell>
        </row>
        <row r="1664">
          <cell r="A1664">
            <v>1661</v>
          </cell>
          <cell r="C1664">
            <v>3701015112</v>
          </cell>
          <cell r="D1664" t="str">
            <v>齐河务头中继站の机架-2</v>
          </cell>
        </row>
        <row r="1665">
          <cell r="A1665">
            <v>1662</v>
          </cell>
          <cell r="C1665">
            <v>3701015113</v>
          </cell>
          <cell r="D1665" t="str">
            <v>齐河务头中继站の机架-3</v>
          </cell>
        </row>
        <row r="1666">
          <cell r="A1666">
            <v>1663</v>
          </cell>
          <cell r="C1666">
            <v>3701015121</v>
          </cell>
          <cell r="D1666" t="str">
            <v>齐河务头中继站の机架-4</v>
          </cell>
        </row>
        <row r="1667">
          <cell r="A1667">
            <v>1664</v>
          </cell>
          <cell r="C1667">
            <v>3701015122</v>
          </cell>
          <cell r="D1667" t="str">
            <v>齐河务头中继站の机架-5</v>
          </cell>
        </row>
        <row r="1668">
          <cell r="A1668">
            <v>1665</v>
          </cell>
          <cell r="C1668">
            <v>3701015123</v>
          </cell>
          <cell r="D1668" t="str">
            <v>齐河务头中继站の机架-6</v>
          </cell>
        </row>
        <row r="1669">
          <cell r="A1669">
            <v>1666</v>
          </cell>
          <cell r="C1669">
            <v>3701015131</v>
          </cell>
          <cell r="D1669" t="str">
            <v>齐河务头中继站の机架-7</v>
          </cell>
        </row>
        <row r="1670">
          <cell r="A1670">
            <v>1667</v>
          </cell>
          <cell r="C1670">
            <v>3701015132</v>
          </cell>
          <cell r="D1670" t="str">
            <v>齐河务头中继站の机架-8</v>
          </cell>
        </row>
        <row r="1671">
          <cell r="A1671">
            <v>1668</v>
          </cell>
          <cell r="C1671">
            <v>3701015133</v>
          </cell>
          <cell r="D1671" t="str">
            <v>齐河务头中继站の机架-9</v>
          </cell>
        </row>
        <row r="1672">
          <cell r="A1672">
            <v>1669</v>
          </cell>
          <cell r="C1672">
            <v>3701016111</v>
          </cell>
          <cell r="D1672" t="str">
            <v>乐陵新局の机架-1</v>
          </cell>
        </row>
        <row r="1673">
          <cell r="A1673">
            <v>1670</v>
          </cell>
          <cell r="C1673">
            <v>3701016112</v>
          </cell>
          <cell r="D1673" t="str">
            <v>乐陵新局の机架-2</v>
          </cell>
        </row>
        <row r="1674">
          <cell r="A1674">
            <v>1671</v>
          </cell>
          <cell r="C1674">
            <v>3701016113</v>
          </cell>
          <cell r="D1674" t="str">
            <v>乐陵新局の机架-3</v>
          </cell>
        </row>
        <row r="1675">
          <cell r="A1675">
            <v>1672</v>
          </cell>
          <cell r="C1675">
            <v>3701016121</v>
          </cell>
          <cell r="D1675" t="str">
            <v>乐陵新局の机架-4</v>
          </cell>
        </row>
        <row r="1676">
          <cell r="A1676">
            <v>1673</v>
          </cell>
          <cell r="C1676">
            <v>3701016122</v>
          </cell>
          <cell r="D1676" t="str">
            <v>乐陵新局の机架-5</v>
          </cell>
        </row>
        <row r="1677">
          <cell r="A1677">
            <v>1674</v>
          </cell>
          <cell r="C1677">
            <v>3701016123</v>
          </cell>
          <cell r="D1677" t="str">
            <v>乐陵新局の机架-6</v>
          </cell>
        </row>
        <row r="1678">
          <cell r="A1678">
            <v>1675</v>
          </cell>
          <cell r="C1678">
            <v>3701016131</v>
          </cell>
          <cell r="D1678" t="str">
            <v>乐陵新局の机架-7</v>
          </cell>
        </row>
        <row r="1679">
          <cell r="A1679">
            <v>1676</v>
          </cell>
          <cell r="C1679">
            <v>3701016132</v>
          </cell>
          <cell r="D1679" t="str">
            <v>乐陵新局の机架-8</v>
          </cell>
        </row>
        <row r="1680">
          <cell r="A1680">
            <v>1677</v>
          </cell>
          <cell r="C1680">
            <v>3701016133</v>
          </cell>
          <cell r="D1680" t="str">
            <v>乐陵新局の机架-9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workbookViewId="0">
      <selection activeCell="A6" sqref="A6"/>
    </sheetView>
  </sheetViews>
  <sheetFormatPr defaultRowHeight="14.25" x14ac:dyDescent="0.2"/>
  <cols>
    <col min="1" max="1" width="20.5" customWidth="1"/>
    <col min="2" max="2" width="27.125" customWidth="1"/>
    <col min="3" max="3" width="32.625" customWidth="1"/>
    <col min="4" max="4" width="29.375" customWidth="1"/>
    <col min="5" max="5" width="29.5" customWidth="1"/>
    <col min="6" max="6" width="79.625" customWidth="1"/>
    <col min="7" max="7" width="12" customWidth="1"/>
  </cols>
  <sheetData>
    <row r="1" spans="1:7" ht="1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5</v>
      </c>
      <c r="F1" s="2" t="s">
        <v>6</v>
      </c>
      <c r="G1" s="2" t="s">
        <v>4</v>
      </c>
    </row>
    <row r="2" spans="1:7" ht="47.25" customHeight="1" x14ac:dyDescent="0.2">
      <c r="A2" s="4" t="s">
        <v>83</v>
      </c>
      <c r="B2" s="4"/>
      <c r="C2" s="4" t="s">
        <v>7</v>
      </c>
      <c r="D2" s="4" t="s">
        <v>88</v>
      </c>
      <c r="E2" s="4" t="s">
        <v>88</v>
      </c>
      <c r="F2" s="4"/>
      <c r="G2" s="3" t="b">
        <v>0</v>
      </c>
    </row>
    <row r="3" spans="1:7" ht="47.25" customHeight="1" x14ac:dyDescent="0.2">
      <c r="A3" s="4" t="s">
        <v>84</v>
      </c>
      <c r="B3" s="4"/>
      <c r="C3" s="4" t="s">
        <v>7</v>
      </c>
      <c r="D3" s="4" t="s">
        <v>88</v>
      </c>
      <c r="E3" s="4" t="s">
        <v>88</v>
      </c>
      <c r="F3" s="4"/>
      <c r="G3" s="3" t="b">
        <v>0</v>
      </c>
    </row>
    <row r="4" spans="1:7" ht="57.75" customHeight="1" x14ac:dyDescent="0.2">
      <c r="A4" s="4" t="s">
        <v>89</v>
      </c>
      <c r="B4" s="4"/>
      <c r="C4" s="4" t="s">
        <v>7</v>
      </c>
      <c r="D4" s="4" t="s">
        <v>88</v>
      </c>
      <c r="E4" s="4" t="s">
        <v>88</v>
      </c>
      <c r="F4" s="4"/>
      <c r="G4" s="3" t="b">
        <v>0</v>
      </c>
    </row>
    <row r="5" spans="1:7" ht="54" customHeight="1" x14ac:dyDescent="0.2">
      <c r="A5" s="4" t="s">
        <v>394</v>
      </c>
      <c r="B5" s="3"/>
      <c r="C5" s="4" t="s">
        <v>7</v>
      </c>
      <c r="D5" s="4" t="s">
        <v>88</v>
      </c>
      <c r="E5" s="4" t="s">
        <v>88</v>
      </c>
      <c r="F5" s="3"/>
      <c r="G5" s="3" t="b">
        <v>1</v>
      </c>
    </row>
    <row r="9" spans="1:7" x14ac:dyDescent="0.2">
      <c r="A9" s="1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7"/>
  <sheetViews>
    <sheetView workbookViewId="0">
      <selection activeCell="I18" sqref="I18"/>
    </sheetView>
  </sheetViews>
  <sheetFormatPr defaultRowHeight="14.25" x14ac:dyDescent="0.2"/>
  <cols>
    <col min="1" max="1" width="15.625" customWidth="1"/>
    <col min="2" max="2" width="13.125" customWidth="1"/>
    <col min="3" max="3" width="15.25" customWidth="1"/>
    <col min="4" max="4" width="16.625" customWidth="1"/>
    <col min="5" max="5" width="20.5" customWidth="1"/>
    <col min="6" max="6" width="18.75" customWidth="1"/>
    <col min="7" max="7" width="17" customWidth="1"/>
    <col min="8" max="8" width="21.75" customWidth="1"/>
    <col min="9" max="10" width="18.75" customWidth="1"/>
    <col min="11" max="11" width="15.875" customWidth="1"/>
    <col min="12" max="12" width="17" customWidth="1"/>
    <col min="13" max="13" width="15.875" customWidth="1"/>
  </cols>
  <sheetData>
    <row r="1" spans="1:12" ht="15" x14ac:dyDescent="0.2">
      <c r="A1" s="5" t="s">
        <v>16</v>
      </c>
      <c r="B1" s="5" t="s">
        <v>85</v>
      </c>
      <c r="C1" s="5" t="s">
        <v>13</v>
      </c>
      <c r="D1" s="5" t="s">
        <v>8</v>
      </c>
      <c r="E1" s="5" t="s">
        <v>197</v>
      </c>
      <c r="F1" s="5" t="s">
        <v>62</v>
      </c>
      <c r="G1" s="5" t="s">
        <v>390</v>
      </c>
      <c r="H1" s="5" t="s">
        <v>202</v>
      </c>
      <c r="I1" s="6" t="s">
        <v>64</v>
      </c>
      <c r="J1" s="6" t="s">
        <v>66</v>
      </c>
    </row>
    <row r="2" spans="1:12" x14ac:dyDescent="0.2">
      <c r="A2" t="s">
        <v>15</v>
      </c>
      <c r="B2" t="s">
        <v>86</v>
      </c>
      <c r="C2" t="s">
        <v>9</v>
      </c>
      <c r="D2" t="s">
        <v>9</v>
      </c>
      <c r="E2" t="s">
        <v>9</v>
      </c>
      <c r="F2" t="s">
        <v>63</v>
      </c>
      <c r="G2" t="s">
        <v>391</v>
      </c>
      <c r="H2" t="s">
        <v>63</v>
      </c>
      <c r="I2" t="s">
        <v>65</v>
      </c>
      <c r="J2" t="s">
        <v>65</v>
      </c>
    </row>
    <row r="3" spans="1:12" ht="43.5" customHeight="1" x14ac:dyDescent="0.2">
      <c r="A3" s="2" t="s">
        <v>17</v>
      </c>
      <c r="B3" s="2" t="s">
        <v>87</v>
      </c>
      <c r="C3" s="2" t="s">
        <v>10</v>
      </c>
      <c r="D3" s="2" t="s">
        <v>11</v>
      </c>
      <c r="E3" s="2" t="s">
        <v>12</v>
      </c>
      <c r="F3" s="2" t="s">
        <v>14</v>
      </c>
      <c r="G3" s="2" t="s">
        <v>392</v>
      </c>
      <c r="H3" s="2" t="s">
        <v>203</v>
      </c>
      <c r="I3" s="2" t="s">
        <v>67</v>
      </c>
      <c r="J3" s="2" t="s">
        <v>68</v>
      </c>
    </row>
    <row r="4" spans="1:12" ht="16.5" x14ac:dyDescent="0.2">
      <c r="A4" s="3" t="s">
        <v>18</v>
      </c>
      <c r="B4" s="3">
        <v>1</v>
      </c>
      <c r="C4" s="3" t="s">
        <v>20</v>
      </c>
      <c r="D4" s="3" t="s">
        <v>30</v>
      </c>
      <c r="E4" s="4" t="s">
        <v>91</v>
      </c>
      <c r="F4" s="3" t="s">
        <v>46</v>
      </c>
      <c r="G4" s="3">
        <v>10</v>
      </c>
      <c r="H4" s="3" t="s">
        <v>204</v>
      </c>
      <c r="I4" s="3">
        <v>27600</v>
      </c>
      <c r="J4" s="3">
        <v>320</v>
      </c>
      <c r="L4" s="7">
        <v>182</v>
      </c>
    </row>
    <row r="5" spans="1:12" ht="16.5" x14ac:dyDescent="0.2">
      <c r="A5" s="3" t="s">
        <v>18</v>
      </c>
      <c r="B5" s="3">
        <v>2</v>
      </c>
      <c r="C5" s="3" t="s">
        <v>21</v>
      </c>
      <c r="D5" s="3" t="s">
        <v>31</v>
      </c>
      <c r="E5" s="3" t="s">
        <v>91</v>
      </c>
      <c r="F5" s="3" t="s">
        <v>47</v>
      </c>
      <c r="G5" s="3">
        <v>12</v>
      </c>
      <c r="H5" s="3" t="s">
        <v>205</v>
      </c>
      <c r="I5" s="3">
        <v>41500</v>
      </c>
      <c r="J5" s="3">
        <v>120</v>
      </c>
      <c r="L5" s="7">
        <v>183</v>
      </c>
    </row>
    <row r="6" spans="1:12" ht="16.5" x14ac:dyDescent="0.2">
      <c r="A6" s="3" t="s">
        <v>18</v>
      </c>
      <c r="B6" s="3">
        <v>3</v>
      </c>
      <c r="C6" s="3" t="s">
        <v>22</v>
      </c>
      <c r="D6" s="3" t="s">
        <v>32</v>
      </c>
      <c r="E6" s="3" t="s">
        <v>91</v>
      </c>
      <c r="F6" s="3" t="s">
        <v>48</v>
      </c>
      <c r="G6" s="3">
        <v>14</v>
      </c>
      <c r="H6" s="3" t="s">
        <v>206</v>
      </c>
      <c r="I6" s="3">
        <v>30500</v>
      </c>
      <c r="J6" s="3">
        <v>870</v>
      </c>
      <c r="L6" s="7">
        <v>184</v>
      </c>
    </row>
    <row r="7" spans="1:12" ht="16.5" x14ac:dyDescent="0.2">
      <c r="A7" s="3" t="s">
        <v>18</v>
      </c>
      <c r="B7" s="3">
        <v>4</v>
      </c>
      <c r="C7" s="3" t="s">
        <v>23</v>
      </c>
      <c r="D7" s="3" t="s">
        <v>33</v>
      </c>
      <c r="E7" s="3" t="s">
        <v>91</v>
      </c>
      <c r="F7" s="3" t="s">
        <v>49</v>
      </c>
      <c r="G7" s="3">
        <v>16</v>
      </c>
      <c r="H7" s="3" t="s">
        <v>207</v>
      </c>
      <c r="I7" s="3">
        <v>39500</v>
      </c>
      <c r="J7" s="3">
        <v>270</v>
      </c>
      <c r="L7" s="7">
        <v>185</v>
      </c>
    </row>
    <row r="8" spans="1:12" ht="16.5" x14ac:dyDescent="0.2">
      <c r="A8" s="3" t="s">
        <v>18</v>
      </c>
      <c r="B8" s="3">
        <v>5</v>
      </c>
      <c r="C8" s="3" t="s">
        <v>24</v>
      </c>
      <c r="D8" s="3" t="s">
        <v>34</v>
      </c>
      <c r="E8" s="3" t="s">
        <v>91</v>
      </c>
      <c r="F8" s="3" t="s">
        <v>50</v>
      </c>
      <c r="G8" s="3">
        <v>18</v>
      </c>
      <c r="H8" s="3" t="s">
        <v>208</v>
      </c>
      <c r="I8" s="3">
        <v>23900</v>
      </c>
      <c r="J8" s="3">
        <v>930</v>
      </c>
      <c r="L8" s="7">
        <v>186</v>
      </c>
    </row>
    <row r="9" spans="1:12" ht="16.5" x14ac:dyDescent="0.2">
      <c r="A9" s="3" t="s">
        <v>18</v>
      </c>
      <c r="B9" s="3">
        <v>6</v>
      </c>
      <c r="C9" s="3" t="s">
        <v>25</v>
      </c>
      <c r="D9" s="3" t="s">
        <v>35</v>
      </c>
      <c r="E9" s="3" t="s">
        <v>91</v>
      </c>
      <c r="F9" s="3" t="s">
        <v>51</v>
      </c>
      <c r="G9" s="3">
        <v>20</v>
      </c>
      <c r="H9" s="3" t="s">
        <v>209</v>
      </c>
      <c r="I9" s="3">
        <v>32400</v>
      </c>
      <c r="J9" s="3">
        <v>970</v>
      </c>
      <c r="L9" s="7">
        <v>187</v>
      </c>
    </row>
    <row r="10" spans="1:12" ht="16.5" x14ac:dyDescent="0.2">
      <c r="A10" s="3" t="s">
        <v>18</v>
      </c>
      <c r="B10" s="3">
        <v>7</v>
      </c>
      <c r="C10" s="3" t="s">
        <v>26</v>
      </c>
      <c r="D10" s="3" t="s">
        <v>36</v>
      </c>
      <c r="E10" s="3" t="s">
        <v>91</v>
      </c>
      <c r="F10" s="3" t="s">
        <v>52</v>
      </c>
      <c r="G10" s="3">
        <v>22</v>
      </c>
      <c r="H10" s="3" t="s">
        <v>210</v>
      </c>
      <c r="I10" s="3">
        <v>4200</v>
      </c>
      <c r="J10" s="3">
        <v>80</v>
      </c>
      <c r="L10" s="7">
        <v>188</v>
      </c>
    </row>
    <row r="11" spans="1:12" ht="16.5" x14ac:dyDescent="0.2">
      <c r="A11" s="3" t="s">
        <v>18</v>
      </c>
      <c r="B11" s="3">
        <v>8</v>
      </c>
      <c r="C11" s="3" t="s">
        <v>27</v>
      </c>
      <c r="D11" s="3" t="s">
        <v>37</v>
      </c>
      <c r="E11" s="3" t="s">
        <v>91</v>
      </c>
      <c r="F11" s="3" t="s">
        <v>53</v>
      </c>
      <c r="G11" s="3">
        <v>24</v>
      </c>
      <c r="H11" s="3" t="s">
        <v>211</v>
      </c>
      <c r="I11" s="3">
        <v>44300</v>
      </c>
      <c r="J11" s="3">
        <v>800</v>
      </c>
      <c r="L11" s="7">
        <v>189</v>
      </c>
    </row>
    <row r="12" spans="1:12" ht="16.5" x14ac:dyDescent="0.2">
      <c r="A12" s="3" t="s">
        <v>18</v>
      </c>
      <c r="B12" s="3">
        <v>9</v>
      </c>
      <c r="C12" s="3" t="s">
        <v>28</v>
      </c>
      <c r="D12" s="3" t="s">
        <v>38</v>
      </c>
      <c r="E12" s="3" t="s">
        <v>91</v>
      </c>
      <c r="F12" s="3" t="s">
        <v>54</v>
      </c>
      <c r="G12" s="3">
        <v>26</v>
      </c>
      <c r="H12" s="3" t="s">
        <v>212</v>
      </c>
      <c r="I12" s="3">
        <v>14000</v>
      </c>
      <c r="J12" s="3">
        <v>260</v>
      </c>
      <c r="L12" s="7">
        <v>190</v>
      </c>
    </row>
    <row r="13" spans="1:12" ht="16.5" x14ac:dyDescent="0.2">
      <c r="A13" s="3" t="s">
        <v>18</v>
      </c>
      <c r="B13" s="3">
        <v>10</v>
      </c>
      <c r="C13" s="3" t="s">
        <v>29</v>
      </c>
      <c r="D13" s="3" t="s">
        <v>39</v>
      </c>
      <c r="E13" s="3" t="s">
        <v>91</v>
      </c>
      <c r="F13" s="3" t="s">
        <v>55</v>
      </c>
      <c r="G13" s="3">
        <v>28</v>
      </c>
      <c r="H13" s="3" t="s">
        <v>213</v>
      </c>
      <c r="I13" s="3">
        <v>9800</v>
      </c>
      <c r="J13" s="3">
        <v>420</v>
      </c>
      <c r="L13" s="7">
        <v>191</v>
      </c>
    </row>
    <row r="14" spans="1:12" ht="16.5" x14ac:dyDescent="0.2">
      <c r="A14" s="3" t="s">
        <v>18</v>
      </c>
      <c r="B14" s="3">
        <v>11</v>
      </c>
      <c r="C14" s="3" t="s">
        <v>346</v>
      </c>
      <c r="D14" s="3" t="s">
        <v>302</v>
      </c>
      <c r="E14" s="3" t="s">
        <v>91</v>
      </c>
      <c r="F14" s="3" t="s">
        <v>258</v>
      </c>
      <c r="G14" s="3">
        <v>30</v>
      </c>
      <c r="H14" s="3" t="s">
        <v>214</v>
      </c>
      <c r="I14" s="3">
        <v>22400</v>
      </c>
      <c r="J14" s="3">
        <v>840</v>
      </c>
      <c r="L14" s="7">
        <v>192</v>
      </c>
    </row>
    <row r="15" spans="1:12" ht="16.5" x14ac:dyDescent="0.2">
      <c r="A15" s="3" t="s">
        <v>18</v>
      </c>
      <c r="B15" s="3">
        <v>12</v>
      </c>
      <c r="C15" s="3" t="s">
        <v>347</v>
      </c>
      <c r="D15" s="3" t="s">
        <v>303</v>
      </c>
      <c r="E15" s="3" t="s">
        <v>91</v>
      </c>
      <c r="F15" s="3" t="s">
        <v>259</v>
      </c>
      <c r="G15" s="3">
        <v>32</v>
      </c>
      <c r="H15" s="3" t="s">
        <v>215</v>
      </c>
      <c r="I15" s="3">
        <v>47500</v>
      </c>
      <c r="J15" s="3">
        <v>140</v>
      </c>
      <c r="L15" s="7">
        <v>193</v>
      </c>
    </row>
    <row r="16" spans="1:12" ht="16.5" x14ac:dyDescent="0.2">
      <c r="A16" s="3" t="s">
        <v>18</v>
      </c>
      <c r="B16" s="3">
        <v>13</v>
      </c>
      <c r="C16" s="3" t="s">
        <v>348</v>
      </c>
      <c r="D16" s="3" t="s">
        <v>304</v>
      </c>
      <c r="E16" s="3" t="s">
        <v>91</v>
      </c>
      <c r="F16" s="3" t="s">
        <v>260</v>
      </c>
      <c r="G16" s="3">
        <v>34</v>
      </c>
      <c r="H16" s="3" t="s">
        <v>216</v>
      </c>
      <c r="I16" s="3">
        <v>2300</v>
      </c>
      <c r="J16" s="3">
        <v>750</v>
      </c>
      <c r="L16" s="7">
        <v>194</v>
      </c>
    </row>
    <row r="17" spans="1:12" ht="16.5" x14ac:dyDescent="0.2">
      <c r="A17" s="3" t="s">
        <v>18</v>
      </c>
      <c r="B17" s="3">
        <v>14</v>
      </c>
      <c r="C17" s="3" t="s">
        <v>349</v>
      </c>
      <c r="D17" s="3" t="s">
        <v>305</v>
      </c>
      <c r="E17" s="3" t="s">
        <v>91</v>
      </c>
      <c r="F17" s="3" t="s">
        <v>261</v>
      </c>
      <c r="G17" s="3">
        <v>36</v>
      </c>
      <c r="H17" s="3" t="s">
        <v>217</v>
      </c>
      <c r="I17" s="3">
        <v>15300</v>
      </c>
      <c r="J17" s="3">
        <v>240</v>
      </c>
      <c r="L17" s="7">
        <v>195</v>
      </c>
    </row>
    <row r="18" spans="1:12" ht="16.5" x14ac:dyDescent="0.2">
      <c r="A18" s="3" t="s">
        <v>18</v>
      </c>
      <c r="B18" s="3">
        <v>15</v>
      </c>
      <c r="C18" s="3" t="s">
        <v>350</v>
      </c>
      <c r="D18" s="3" t="s">
        <v>306</v>
      </c>
      <c r="E18" s="3" t="s">
        <v>91</v>
      </c>
      <c r="F18" s="3" t="s">
        <v>262</v>
      </c>
      <c r="G18" s="3">
        <v>38</v>
      </c>
      <c r="H18" s="3" t="s">
        <v>218</v>
      </c>
      <c r="I18" s="3">
        <v>13300</v>
      </c>
      <c r="J18" s="3">
        <v>560</v>
      </c>
      <c r="L18" s="7">
        <v>196</v>
      </c>
    </row>
    <row r="19" spans="1:12" ht="16.5" x14ac:dyDescent="0.2">
      <c r="A19" s="3" t="s">
        <v>18</v>
      </c>
      <c r="B19" s="3">
        <v>16</v>
      </c>
      <c r="C19" s="3" t="s">
        <v>351</v>
      </c>
      <c r="D19" s="3" t="s">
        <v>307</v>
      </c>
      <c r="E19" s="3" t="s">
        <v>91</v>
      </c>
      <c r="F19" s="3" t="s">
        <v>263</v>
      </c>
      <c r="G19" s="3">
        <v>40</v>
      </c>
      <c r="H19" s="3" t="s">
        <v>219</v>
      </c>
      <c r="I19" s="3">
        <v>48400</v>
      </c>
      <c r="J19" s="3">
        <v>960</v>
      </c>
      <c r="L19" s="7">
        <v>197</v>
      </c>
    </row>
    <row r="20" spans="1:12" ht="16.5" x14ac:dyDescent="0.2">
      <c r="A20" s="3" t="s">
        <v>18</v>
      </c>
      <c r="B20" s="3">
        <v>17</v>
      </c>
      <c r="C20" s="3" t="s">
        <v>352</v>
      </c>
      <c r="D20" s="3" t="s">
        <v>308</v>
      </c>
      <c r="E20" s="3" t="s">
        <v>91</v>
      </c>
      <c r="F20" s="3" t="s">
        <v>264</v>
      </c>
      <c r="G20" s="3">
        <v>41</v>
      </c>
      <c r="H20" s="3" t="s">
        <v>220</v>
      </c>
      <c r="I20" s="3">
        <v>24800</v>
      </c>
      <c r="J20" s="3">
        <v>640</v>
      </c>
      <c r="L20" s="7">
        <v>198</v>
      </c>
    </row>
    <row r="21" spans="1:12" ht="16.5" x14ac:dyDescent="0.2">
      <c r="A21" s="3" t="s">
        <v>18</v>
      </c>
      <c r="B21" s="3">
        <v>18</v>
      </c>
      <c r="C21" s="3" t="s">
        <v>353</v>
      </c>
      <c r="D21" s="3" t="s">
        <v>309</v>
      </c>
      <c r="E21" s="3" t="s">
        <v>91</v>
      </c>
      <c r="F21" s="3" t="s">
        <v>265</v>
      </c>
      <c r="G21" s="3">
        <v>42</v>
      </c>
      <c r="H21" s="3" t="s">
        <v>221</v>
      </c>
      <c r="I21" s="3">
        <v>18100</v>
      </c>
      <c r="J21" s="3">
        <v>50</v>
      </c>
      <c r="L21" s="7">
        <v>199</v>
      </c>
    </row>
    <row r="22" spans="1:12" ht="16.5" x14ac:dyDescent="0.2">
      <c r="A22" s="3" t="s">
        <v>18</v>
      </c>
      <c r="B22" s="3">
        <v>19</v>
      </c>
      <c r="C22" s="3" t="s">
        <v>354</v>
      </c>
      <c r="D22" s="3" t="s">
        <v>310</v>
      </c>
      <c r="E22" s="3" t="s">
        <v>91</v>
      </c>
      <c r="F22" s="3" t="s">
        <v>266</v>
      </c>
      <c r="G22" s="3">
        <v>43</v>
      </c>
      <c r="H22" s="3" t="s">
        <v>222</v>
      </c>
      <c r="I22" s="3">
        <v>46600</v>
      </c>
      <c r="J22" s="3">
        <v>160</v>
      </c>
      <c r="L22" s="7">
        <v>200</v>
      </c>
    </row>
    <row r="23" spans="1:12" ht="16.5" x14ac:dyDescent="0.2">
      <c r="A23" s="3" t="s">
        <v>18</v>
      </c>
      <c r="B23" s="3">
        <v>20</v>
      </c>
      <c r="C23" s="3" t="s">
        <v>355</v>
      </c>
      <c r="D23" s="3" t="s">
        <v>311</v>
      </c>
      <c r="E23" s="3" t="s">
        <v>91</v>
      </c>
      <c r="F23" s="3" t="s">
        <v>267</v>
      </c>
      <c r="G23" s="3">
        <v>45</v>
      </c>
      <c r="H23" s="3" t="s">
        <v>223</v>
      </c>
      <c r="I23" s="3">
        <v>37600</v>
      </c>
      <c r="J23" s="3">
        <v>810</v>
      </c>
      <c r="L23" s="7">
        <v>201</v>
      </c>
    </row>
    <row r="24" spans="1:12" ht="16.5" x14ac:dyDescent="0.2">
      <c r="A24" s="3" t="s">
        <v>18</v>
      </c>
      <c r="B24" s="3">
        <v>21</v>
      </c>
      <c r="C24" s="3" t="s">
        <v>356</v>
      </c>
      <c r="D24" s="3" t="s">
        <v>312</v>
      </c>
      <c r="E24" s="3" t="s">
        <v>91</v>
      </c>
      <c r="F24" s="3" t="s">
        <v>268</v>
      </c>
      <c r="G24" s="3">
        <v>48</v>
      </c>
      <c r="H24" s="3" t="s">
        <v>224</v>
      </c>
      <c r="I24" s="3">
        <v>22000</v>
      </c>
      <c r="J24" s="3">
        <v>790</v>
      </c>
      <c r="L24" s="7">
        <v>202</v>
      </c>
    </row>
    <row r="25" spans="1:12" ht="16.5" x14ac:dyDescent="0.2">
      <c r="A25" s="3" t="s">
        <v>18</v>
      </c>
      <c r="B25" s="3">
        <v>22</v>
      </c>
      <c r="C25" s="3" t="s">
        <v>357</v>
      </c>
      <c r="D25" s="3" t="s">
        <v>313</v>
      </c>
      <c r="E25" s="3" t="s">
        <v>91</v>
      </c>
      <c r="F25" s="3" t="s">
        <v>269</v>
      </c>
      <c r="G25" s="3">
        <v>50</v>
      </c>
      <c r="H25" s="3" t="s">
        <v>225</v>
      </c>
      <c r="I25" s="3">
        <v>40400</v>
      </c>
      <c r="J25" s="3">
        <v>1030</v>
      </c>
      <c r="L25" s="7">
        <v>203</v>
      </c>
    </row>
    <row r="26" spans="1:12" ht="16.5" x14ac:dyDescent="0.2">
      <c r="A26" s="3" t="s">
        <v>18</v>
      </c>
      <c r="B26" s="3">
        <v>23</v>
      </c>
      <c r="C26" s="3" t="s">
        <v>358</v>
      </c>
      <c r="D26" s="3" t="s">
        <v>314</v>
      </c>
      <c r="E26" s="3" t="s">
        <v>91</v>
      </c>
      <c r="F26" s="3" t="s">
        <v>270</v>
      </c>
      <c r="G26" s="3">
        <v>52</v>
      </c>
      <c r="H26" s="3" t="s">
        <v>226</v>
      </c>
      <c r="I26" s="3">
        <v>39400</v>
      </c>
      <c r="J26" s="3">
        <v>920</v>
      </c>
      <c r="L26" s="7">
        <v>204</v>
      </c>
    </row>
    <row r="27" spans="1:12" ht="16.5" x14ac:dyDescent="0.2">
      <c r="A27" s="3" t="s">
        <v>18</v>
      </c>
      <c r="B27" s="3">
        <v>24</v>
      </c>
      <c r="C27" s="3" t="s">
        <v>359</v>
      </c>
      <c r="D27" s="3" t="s">
        <v>315</v>
      </c>
      <c r="E27" s="3" t="s">
        <v>91</v>
      </c>
      <c r="F27" s="3" t="s">
        <v>271</v>
      </c>
      <c r="G27" s="3">
        <v>54</v>
      </c>
      <c r="H27" s="3" t="s">
        <v>227</v>
      </c>
      <c r="I27" s="3">
        <v>14200</v>
      </c>
      <c r="J27" s="3">
        <v>300</v>
      </c>
      <c r="L27" s="7">
        <v>205</v>
      </c>
    </row>
    <row r="28" spans="1:12" ht="16.5" x14ac:dyDescent="0.2">
      <c r="A28" s="3" t="s">
        <v>18</v>
      </c>
      <c r="B28" s="3">
        <v>25</v>
      </c>
      <c r="C28" s="3" t="s">
        <v>360</v>
      </c>
      <c r="D28" s="3" t="s">
        <v>316</v>
      </c>
      <c r="E28" s="3" t="s">
        <v>91</v>
      </c>
      <c r="F28" s="3" t="s">
        <v>272</v>
      </c>
      <c r="G28" s="3">
        <v>56</v>
      </c>
      <c r="H28" s="3" t="s">
        <v>228</v>
      </c>
      <c r="I28" s="3">
        <v>29800</v>
      </c>
      <c r="J28" s="3">
        <v>80</v>
      </c>
      <c r="L28" s="7">
        <v>206</v>
      </c>
    </row>
    <row r="29" spans="1:12" ht="16.5" x14ac:dyDescent="0.2">
      <c r="A29" s="3" t="s">
        <v>18</v>
      </c>
      <c r="B29" s="3">
        <v>26</v>
      </c>
      <c r="C29" s="3" t="s">
        <v>361</v>
      </c>
      <c r="D29" s="3" t="s">
        <v>317</v>
      </c>
      <c r="E29" s="3" t="s">
        <v>91</v>
      </c>
      <c r="F29" s="3" t="s">
        <v>273</v>
      </c>
      <c r="G29" s="3">
        <v>58</v>
      </c>
      <c r="H29" s="3" t="s">
        <v>229</v>
      </c>
      <c r="I29" s="3">
        <v>46600</v>
      </c>
      <c r="J29" s="3">
        <v>200</v>
      </c>
      <c r="L29" s="7">
        <v>207</v>
      </c>
    </row>
    <row r="30" spans="1:12" ht="16.5" x14ac:dyDescent="0.2">
      <c r="A30" s="3" t="s">
        <v>18</v>
      </c>
      <c r="B30" s="3">
        <v>27</v>
      </c>
      <c r="C30" s="3" t="s">
        <v>362</v>
      </c>
      <c r="D30" s="3" t="s">
        <v>318</v>
      </c>
      <c r="E30" s="3" t="s">
        <v>91</v>
      </c>
      <c r="F30" s="3" t="s">
        <v>274</v>
      </c>
      <c r="G30" s="3">
        <v>60</v>
      </c>
      <c r="H30" s="3" t="s">
        <v>230</v>
      </c>
      <c r="I30" s="3">
        <v>44400</v>
      </c>
      <c r="J30" s="3">
        <v>210</v>
      </c>
      <c r="L30" s="7">
        <v>208</v>
      </c>
    </row>
    <row r="31" spans="1:12" ht="16.5" x14ac:dyDescent="0.2">
      <c r="A31" s="3" t="s">
        <v>18</v>
      </c>
      <c r="B31" s="3">
        <v>28</v>
      </c>
      <c r="C31" s="3" t="s">
        <v>363</v>
      </c>
      <c r="D31" s="3" t="s">
        <v>319</v>
      </c>
      <c r="E31" s="3" t="s">
        <v>91</v>
      </c>
      <c r="F31" s="3" t="s">
        <v>275</v>
      </c>
      <c r="G31" s="3">
        <v>62</v>
      </c>
      <c r="H31" s="3" t="s">
        <v>231</v>
      </c>
      <c r="I31" s="3">
        <v>27100</v>
      </c>
      <c r="J31" s="3">
        <v>180</v>
      </c>
      <c r="L31" s="7">
        <v>209</v>
      </c>
    </row>
    <row r="32" spans="1:12" ht="16.5" x14ac:dyDescent="0.2">
      <c r="A32" s="3" t="s">
        <v>18</v>
      </c>
      <c r="B32" s="3">
        <v>29</v>
      </c>
      <c r="C32" s="3" t="s">
        <v>364</v>
      </c>
      <c r="D32" s="3" t="s">
        <v>320</v>
      </c>
      <c r="E32" s="3" t="s">
        <v>91</v>
      </c>
      <c r="F32" s="3" t="s">
        <v>276</v>
      </c>
      <c r="G32" s="3">
        <v>64</v>
      </c>
      <c r="H32" s="3" t="s">
        <v>232</v>
      </c>
      <c r="I32" s="3">
        <v>49100</v>
      </c>
      <c r="J32" s="3">
        <v>70</v>
      </c>
      <c r="L32" s="7">
        <v>210</v>
      </c>
    </row>
    <row r="33" spans="1:12" ht="16.5" x14ac:dyDescent="0.2">
      <c r="A33" s="3" t="s">
        <v>18</v>
      </c>
      <c r="B33" s="3">
        <v>30</v>
      </c>
      <c r="C33" s="3" t="s">
        <v>365</v>
      </c>
      <c r="D33" s="3" t="s">
        <v>321</v>
      </c>
      <c r="E33" s="3" t="s">
        <v>91</v>
      </c>
      <c r="F33" s="3" t="s">
        <v>277</v>
      </c>
      <c r="G33" s="3">
        <v>66</v>
      </c>
      <c r="H33" s="3" t="s">
        <v>233</v>
      </c>
      <c r="I33" s="3">
        <v>26300</v>
      </c>
      <c r="J33" s="3">
        <v>100</v>
      </c>
      <c r="L33" s="7">
        <v>211</v>
      </c>
    </row>
    <row r="34" spans="1:12" ht="16.5" x14ac:dyDescent="0.2">
      <c r="A34" s="3" t="s">
        <v>18</v>
      </c>
      <c r="B34" s="3">
        <v>31</v>
      </c>
      <c r="C34" s="3" t="s">
        <v>366</v>
      </c>
      <c r="D34" s="3" t="s">
        <v>322</v>
      </c>
      <c r="E34" s="3" t="s">
        <v>91</v>
      </c>
      <c r="F34" s="3" t="s">
        <v>278</v>
      </c>
      <c r="G34" s="3">
        <v>68</v>
      </c>
      <c r="H34" s="3" t="s">
        <v>234</v>
      </c>
      <c r="I34" s="3">
        <v>46400</v>
      </c>
      <c r="J34" s="3">
        <v>160</v>
      </c>
      <c r="L34" s="7">
        <v>212</v>
      </c>
    </row>
    <row r="35" spans="1:12" ht="16.5" x14ac:dyDescent="0.2">
      <c r="A35" s="3" t="s">
        <v>18</v>
      </c>
      <c r="B35" s="3">
        <v>32</v>
      </c>
      <c r="C35" s="3" t="s">
        <v>367</v>
      </c>
      <c r="D35" s="3" t="s">
        <v>323</v>
      </c>
      <c r="E35" s="3" t="s">
        <v>91</v>
      </c>
      <c r="F35" s="3" t="s">
        <v>279</v>
      </c>
      <c r="G35" s="3">
        <v>70</v>
      </c>
      <c r="H35" s="3" t="s">
        <v>235</v>
      </c>
      <c r="I35" s="3">
        <v>1700</v>
      </c>
      <c r="J35" s="3">
        <v>660</v>
      </c>
      <c r="L35" s="7">
        <v>213</v>
      </c>
    </row>
    <row r="36" spans="1:12" ht="16.5" x14ac:dyDescent="0.2">
      <c r="A36" s="3" t="s">
        <v>18</v>
      </c>
      <c r="B36" s="3">
        <v>33</v>
      </c>
      <c r="C36" s="3" t="s">
        <v>368</v>
      </c>
      <c r="D36" s="3" t="s">
        <v>324</v>
      </c>
      <c r="E36" s="3" t="s">
        <v>91</v>
      </c>
      <c r="F36" s="3" t="s">
        <v>280</v>
      </c>
      <c r="G36" s="3">
        <v>72</v>
      </c>
      <c r="H36" s="3" t="s">
        <v>236</v>
      </c>
      <c r="I36" s="3">
        <v>48600</v>
      </c>
      <c r="J36" s="3">
        <v>480</v>
      </c>
      <c r="L36" s="7">
        <v>214</v>
      </c>
    </row>
    <row r="37" spans="1:12" ht="16.5" x14ac:dyDescent="0.2">
      <c r="A37" s="3" t="s">
        <v>18</v>
      </c>
      <c r="B37" s="3">
        <v>34</v>
      </c>
      <c r="C37" s="3" t="s">
        <v>369</v>
      </c>
      <c r="D37" s="3" t="s">
        <v>325</v>
      </c>
      <c r="E37" s="3" t="s">
        <v>91</v>
      </c>
      <c r="F37" s="3" t="s">
        <v>281</v>
      </c>
      <c r="G37" s="3">
        <v>74</v>
      </c>
      <c r="H37" s="3" t="s">
        <v>237</v>
      </c>
      <c r="I37" s="3">
        <v>27900</v>
      </c>
      <c r="J37" s="3">
        <v>390</v>
      </c>
      <c r="L37" s="7">
        <v>215</v>
      </c>
    </row>
    <row r="38" spans="1:12" ht="16.5" x14ac:dyDescent="0.2">
      <c r="A38" s="3" t="s">
        <v>18</v>
      </c>
      <c r="B38" s="3">
        <v>35</v>
      </c>
      <c r="C38" s="3" t="s">
        <v>370</v>
      </c>
      <c r="D38" s="3" t="s">
        <v>326</v>
      </c>
      <c r="E38" s="3" t="s">
        <v>91</v>
      </c>
      <c r="F38" s="3" t="s">
        <v>282</v>
      </c>
      <c r="G38" s="3">
        <v>75</v>
      </c>
      <c r="H38" s="3" t="s">
        <v>238</v>
      </c>
      <c r="I38" s="3">
        <v>27800</v>
      </c>
      <c r="J38" s="3">
        <v>490</v>
      </c>
      <c r="L38" s="7">
        <v>216</v>
      </c>
    </row>
    <row r="39" spans="1:12" ht="16.5" x14ac:dyDescent="0.2">
      <c r="A39" s="3" t="s">
        <v>18</v>
      </c>
      <c r="B39" s="3">
        <v>36</v>
      </c>
      <c r="C39" s="3" t="s">
        <v>371</v>
      </c>
      <c r="D39" s="3" t="s">
        <v>327</v>
      </c>
      <c r="E39" s="3" t="s">
        <v>91</v>
      </c>
      <c r="F39" s="3" t="s">
        <v>283</v>
      </c>
      <c r="G39" s="3">
        <v>76</v>
      </c>
      <c r="H39" s="3" t="s">
        <v>239</v>
      </c>
      <c r="I39" s="3">
        <v>34100</v>
      </c>
      <c r="J39" s="3">
        <v>440</v>
      </c>
      <c r="L39" s="7">
        <v>217</v>
      </c>
    </row>
    <row r="40" spans="1:12" ht="16.5" x14ac:dyDescent="0.2">
      <c r="A40" s="3" t="s">
        <v>18</v>
      </c>
      <c r="B40" s="3">
        <v>37</v>
      </c>
      <c r="C40" s="3" t="s">
        <v>372</v>
      </c>
      <c r="D40" s="3" t="s">
        <v>328</v>
      </c>
      <c r="E40" s="3" t="s">
        <v>91</v>
      </c>
      <c r="F40" s="3" t="s">
        <v>284</v>
      </c>
      <c r="G40" s="3">
        <v>77</v>
      </c>
      <c r="H40" s="3" t="s">
        <v>240</v>
      </c>
      <c r="I40" s="3">
        <v>16400</v>
      </c>
      <c r="J40" s="3">
        <v>480</v>
      </c>
      <c r="L40" s="7">
        <v>218</v>
      </c>
    </row>
    <row r="41" spans="1:12" ht="16.5" x14ac:dyDescent="0.2">
      <c r="A41" s="3" t="s">
        <v>18</v>
      </c>
      <c r="B41" s="3">
        <v>38</v>
      </c>
      <c r="C41" s="3" t="s">
        <v>373</v>
      </c>
      <c r="D41" s="3" t="s">
        <v>329</v>
      </c>
      <c r="E41" s="3" t="s">
        <v>91</v>
      </c>
      <c r="F41" s="3" t="s">
        <v>285</v>
      </c>
      <c r="G41" s="3">
        <v>78</v>
      </c>
      <c r="H41" s="3" t="s">
        <v>241</v>
      </c>
      <c r="I41" s="3">
        <v>26000</v>
      </c>
      <c r="J41" s="3">
        <v>1000</v>
      </c>
      <c r="L41" s="7">
        <v>219</v>
      </c>
    </row>
    <row r="42" spans="1:12" ht="16.5" x14ac:dyDescent="0.2">
      <c r="A42" s="3" t="s">
        <v>18</v>
      </c>
      <c r="B42" s="3">
        <v>39</v>
      </c>
      <c r="C42" s="3" t="s">
        <v>374</v>
      </c>
      <c r="D42" s="3" t="s">
        <v>330</v>
      </c>
      <c r="E42" s="3" t="s">
        <v>91</v>
      </c>
      <c r="F42" s="3" t="s">
        <v>286</v>
      </c>
      <c r="G42" s="3">
        <v>79</v>
      </c>
      <c r="H42" s="3" t="s">
        <v>242</v>
      </c>
      <c r="I42" s="3">
        <v>1100</v>
      </c>
      <c r="J42" s="3">
        <v>750</v>
      </c>
      <c r="L42" s="7">
        <v>220</v>
      </c>
    </row>
    <row r="43" spans="1:12" ht="16.5" x14ac:dyDescent="0.2">
      <c r="A43" s="3" t="s">
        <v>18</v>
      </c>
      <c r="B43" s="3">
        <v>40</v>
      </c>
      <c r="C43" s="3" t="s">
        <v>375</v>
      </c>
      <c r="D43" s="3" t="s">
        <v>331</v>
      </c>
      <c r="E43" s="3" t="s">
        <v>91</v>
      </c>
      <c r="F43" s="3" t="s">
        <v>287</v>
      </c>
      <c r="G43" s="3">
        <v>80</v>
      </c>
      <c r="H43" s="3" t="s">
        <v>243</v>
      </c>
      <c r="I43" s="3">
        <v>42900</v>
      </c>
      <c r="J43" s="3">
        <v>920</v>
      </c>
      <c r="L43" s="7">
        <v>221</v>
      </c>
    </row>
    <row r="44" spans="1:12" ht="16.5" x14ac:dyDescent="0.2">
      <c r="A44" s="3" t="s">
        <v>18</v>
      </c>
      <c r="B44" s="3">
        <v>41</v>
      </c>
      <c r="C44" s="3" t="s">
        <v>376</v>
      </c>
      <c r="D44" s="3" t="s">
        <v>332</v>
      </c>
      <c r="E44" s="3" t="s">
        <v>91</v>
      </c>
      <c r="F44" s="3" t="s">
        <v>288</v>
      </c>
      <c r="G44" s="3">
        <v>81</v>
      </c>
      <c r="H44" s="3" t="s">
        <v>244</v>
      </c>
      <c r="I44" s="3">
        <v>32100</v>
      </c>
      <c r="J44" s="3">
        <v>200</v>
      </c>
      <c r="L44" s="7">
        <v>222</v>
      </c>
    </row>
    <row r="45" spans="1:12" ht="16.5" x14ac:dyDescent="0.2">
      <c r="A45" s="3" t="s">
        <v>18</v>
      </c>
      <c r="B45" s="3">
        <v>42</v>
      </c>
      <c r="C45" s="3" t="s">
        <v>377</v>
      </c>
      <c r="D45" s="3" t="s">
        <v>333</v>
      </c>
      <c r="E45" s="3" t="s">
        <v>91</v>
      </c>
      <c r="F45" s="3" t="s">
        <v>289</v>
      </c>
      <c r="G45" s="3">
        <v>82</v>
      </c>
      <c r="H45" s="3" t="s">
        <v>245</v>
      </c>
      <c r="I45" s="3">
        <v>5700</v>
      </c>
      <c r="J45" s="3">
        <v>750</v>
      </c>
      <c r="L45" s="7">
        <v>223</v>
      </c>
    </row>
    <row r="46" spans="1:12" ht="16.5" x14ac:dyDescent="0.2">
      <c r="A46" s="3" t="s">
        <v>18</v>
      </c>
      <c r="B46" s="3">
        <v>43</v>
      </c>
      <c r="C46" s="3" t="s">
        <v>378</v>
      </c>
      <c r="D46" s="3" t="s">
        <v>334</v>
      </c>
      <c r="E46" s="3" t="s">
        <v>91</v>
      </c>
      <c r="F46" s="3" t="s">
        <v>290</v>
      </c>
      <c r="G46" s="3">
        <v>83</v>
      </c>
      <c r="H46" s="3" t="s">
        <v>246</v>
      </c>
      <c r="I46" s="3">
        <v>45200</v>
      </c>
      <c r="J46" s="3">
        <v>660</v>
      </c>
      <c r="L46" s="7">
        <v>224</v>
      </c>
    </row>
    <row r="47" spans="1:12" ht="16.5" x14ac:dyDescent="0.2">
      <c r="A47" s="3" t="s">
        <v>18</v>
      </c>
      <c r="B47" s="3">
        <v>44</v>
      </c>
      <c r="C47" s="3" t="s">
        <v>379</v>
      </c>
      <c r="D47" s="3" t="s">
        <v>335</v>
      </c>
      <c r="E47" s="3" t="s">
        <v>91</v>
      </c>
      <c r="F47" s="3" t="s">
        <v>291</v>
      </c>
      <c r="G47" s="3">
        <v>84</v>
      </c>
      <c r="H47" s="3" t="s">
        <v>247</v>
      </c>
      <c r="I47" s="3">
        <v>7100</v>
      </c>
      <c r="J47" s="3">
        <v>1020</v>
      </c>
      <c r="L47" s="7">
        <v>225</v>
      </c>
    </row>
    <row r="48" spans="1:12" ht="16.5" x14ac:dyDescent="0.2">
      <c r="A48" s="3" t="s">
        <v>18</v>
      </c>
      <c r="B48" s="3">
        <v>45</v>
      </c>
      <c r="C48" s="3" t="s">
        <v>380</v>
      </c>
      <c r="D48" s="3" t="s">
        <v>336</v>
      </c>
      <c r="E48" s="3" t="s">
        <v>91</v>
      </c>
      <c r="F48" s="3" t="s">
        <v>292</v>
      </c>
      <c r="G48" s="3">
        <v>85</v>
      </c>
      <c r="H48" s="3" t="s">
        <v>248</v>
      </c>
      <c r="I48" s="3">
        <v>48500</v>
      </c>
      <c r="J48" s="3">
        <v>660</v>
      </c>
      <c r="L48" s="7">
        <v>226</v>
      </c>
    </row>
    <row r="49" spans="1:12" ht="16.5" x14ac:dyDescent="0.2">
      <c r="A49" s="3" t="s">
        <v>18</v>
      </c>
      <c r="B49" s="3">
        <v>46</v>
      </c>
      <c r="C49" s="3" t="s">
        <v>381</v>
      </c>
      <c r="D49" s="3" t="s">
        <v>337</v>
      </c>
      <c r="E49" s="3" t="s">
        <v>91</v>
      </c>
      <c r="F49" s="3" t="s">
        <v>293</v>
      </c>
      <c r="G49" s="3">
        <v>86</v>
      </c>
      <c r="H49" s="3" t="s">
        <v>249</v>
      </c>
      <c r="I49" s="3">
        <v>49900</v>
      </c>
      <c r="J49" s="3">
        <v>1020</v>
      </c>
      <c r="L49" s="7">
        <v>227</v>
      </c>
    </row>
    <row r="50" spans="1:12" ht="16.5" x14ac:dyDescent="0.2">
      <c r="A50" s="3" t="s">
        <v>18</v>
      </c>
      <c r="B50" s="3">
        <v>47</v>
      </c>
      <c r="C50" s="3" t="s">
        <v>382</v>
      </c>
      <c r="D50" s="3" t="s">
        <v>338</v>
      </c>
      <c r="E50" s="3" t="s">
        <v>91</v>
      </c>
      <c r="F50" s="3" t="s">
        <v>294</v>
      </c>
      <c r="G50" s="3">
        <v>87</v>
      </c>
      <c r="H50" s="3" t="s">
        <v>250</v>
      </c>
      <c r="I50" s="3">
        <v>21100</v>
      </c>
      <c r="J50" s="3">
        <v>650</v>
      </c>
      <c r="L50" s="7">
        <v>228</v>
      </c>
    </row>
    <row r="51" spans="1:12" ht="16.5" x14ac:dyDescent="0.2">
      <c r="A51" s="3" t="s">
        <v>18</v>
      </c>
      <c r="B51" s="3">
        <v>48</v>
      </c>
      <c r="C51" s="3" t="s">
        <v>383</v>
      </c>
      <c r="D51" s="3" t="s">
        <v>339</v>
      </c>
      <c r="E51" s="3" t="s">
        <v>91</v>
      </c>
      <c r="F51" s="3" t="s">
        <v>295</v>
      </c>
      <c r="G51" s="3">
        <v>88</v>
      </c>
      <c r="H51" s="3" t="s">
        <v>251</v>
      </c>
      <c r="I51" s="3">
        <v>34000</v>
      </c>
      <c r="J51" s="3">
        <v>500</v>
      </c>
      <c r="L51" s="7">
        <v>229</v>
      </c>
    </row>
    <row r="52" spans="1:12" ht="16.5" x14ac:dyDescent="0.2">
      <c r="A52" s="3" t="s">
        <v>18</v>
      </c>
      <c r="B52" s="3">
        <v>49</v>
      </c>
      <c r="C52" s="3" t="s">
        <v>384</v>
      </c>
      <c r="D52" s="3" t="s">
        <v>340</v>
      </c>
      <c r="E52" s="3" t="s">
        <v>91</v>
      </c>
      <c r="F52" s="3" t="s">
        <v>296</v>
      </c>
      <c r="G52" s="3">
        <v>89</v>
      </c>
      <c r="H52" s="3" t="s">
        <v>252</v>
      </c>
      <c r="I52" s="3">
        <v>15400</v>
      </c>
      <c r="J52" s="3">
        <v>1030</v>
      </c>
      <c r="L52" s="7">
        <v>230</v>
      </c>
    </row>
    <row r="53" spans="1:12" ht="16.5" x14ac:dyDescent="0.2">
      <c r="A53" s="3" t="s">
        <v>18</v>
      </c>
      <c r="B53" s="3">
        <v>50</v>
      </c>
      <c r="C53" s="3" t="s">
        <v>385</v>
      </c>
      <c r="D53" s="3" t="s">
        <v>341</v>
      </c>
      <c r="E53" s="3" t="s">
        <v>91</v>
      </c>
      <c r="F53" s="3" t="s">
        <v>297</v>
      </c>
      <c r="G53" s="3">
        <v>90</v>
      </c>
      <c r="H53" s="3" t="s">
        <v>253</v>
      </c>
      <c r="I53" s="3">
        <v>14300</v>
      </c>
      <c r="J53" s="3">
        <v>600</v>
      </c>
      <c r="L53" s="7">
        <v>231</v>
      </c>
    </row>
    <row r="54" spans="1:12" ht="16.5" x14ac:dyDescent="0.2">
      <c r="A54" s="3" t="s">
        <v>18</v>
      </c>
      <c r="B54" s="3">
        <v>51</v>
      </c>
      <c r="C54" s="3" t="s">
        <v>386</v>
      </c>
      <c r="D54" s="3" t="s">
        <v>342</v>
      </c>
      <c r="E54" s="3" t="s">
        <v>91</v>
      </c>
      <c r="F54" s="3" t="s">
        <v>298</v>
      </c>
      <c r="G54" s="3">
        <v>92</v>
      </c>
      <c r="H54" s="3" t="s">
        <v>254</v>
      </c>
      <c r="I54" s="3">
        <v>37600</v>
      </c>
      <c r="J54" s="3">
        <v>230</v>
      </c>
      <c r="L54" s="7">
        <v>232</v>
      </c>
    </row>
    <row r="55" spans="1:12" ht="16.5" x14ac:dyDescent="0.2">
      <c r="A55" s="3" t="s">
        <v>18</v>
      </c>
      <c r="B55" s="3">
        <v>52</v>
      </c>
      <c r="C55" s="3" t="s">
        <v>387</v>
      </c>
      <c r="D55" s="3" t="s">
        <v>343</v>
      </c>
      <c r="E55" s="3" t="s">
        <v>91</v>
      </c>
      <c r="F55" s="3" t="s">
        <v>299</v>
      </c>
      <c r="G55" s="3">
        <v>94</v>
      </c>
      <c r="H55" s="3" t="s">
        <v>255</v>
      </c>
      <c r="I55" s="3">
        <v>28500</v>
      </c>
      <c r="J55" s="3">
        <v>670</v>
      </c>
      <c r="L55" s="7">
        <v>233</v>
      </c>
    </row>
    <row r="56" spans="1:12" ht="16.5" x14ac:dyDescent="0.2">
      <c r="A56" s="3" t="s">
        <v>18</v>
      </c>
      <c r="B56" s="3">
        <v>53</v>
      </c>
      <c r="C56" s="3" t="s">
        <v>388</v>
      </c>
      <c r="D56" s="3" t="s">
        <v>344</v>
      </c>
      <c r="E56" s="3" t="s">
        <v>91</v>
      </c>
      <c r="F56" s="3" t="s">
        <v>300</v>
      </c>
      <c r="G56" s="3">
        <v>96</v>
      </c>
      <c r="H56" s="3" t="s">
        <v>256</v>
      </c>
      <c r="I56" s="3">
        <v>36600</v>
      </c>
      <c r="J56" s="3">
        <v>200</v>
      </c>
      <c r="L56" s="7">
        <v>234</v>
      </c>
    </row>
    <row r="57" spans="1:12" ht="16.5" x14ac:dyDescent="0.2">
      <c r="A57" s="3" t="s">
        <v>18</v>
      </c>
      <c r="B57" s="3">
        <v>54</v>
      </c>
      <c r="C57" s="3" t="s">
        <v>389</v>
      </c>
      <c r="D57" s="3" t="s">
        <v>345</v>
      </c>
      <c r="E57" s="3" t="s">
        <v>91</v>
      </c>
      <c r="F57" s="3" t="s">
        <v>301</v>
      </c>
      <c r="G57" s="3">
        <v>98</v>
      </c>
      <c r="H57" s="3" t="s">
        <v>257</v>
      </c>
      <c r="I57" s="3">
        <v>36900</v>
      </c>
      <c r="J57" s="3">
        <v>670</v>
      </c>
      <c r="L57" s="7">
        <v>235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9"/>
  <sheetViews>
    <sheetView workbookViewId="0">
      <selection activeCell="E1" sqref="E1"/>
    </sheetView>
  </sheetViews>
  <sheetFormatPr defaultRowHeight="14.25" x14ac:dyDescent="0.2"/>
  <cols>
    <col min="1" max="1" width="15.625" customWidth="1"/>
    <col min="2" max="2" width="13.125" customWidth="1"/>
    <col min="3" max="3" width="15.25" customWidth="1"/>
    <col min="4" max="4" width="16.625" customWidth="1"/>
    <col min="5" max="5" width="20.5" customWidth="1"/>
    <col min="6" max="6" width="19.5" customWidth="1"/>
    <col min="7" max="7" width="21.625" customWidth="1"/>
    <col min="8" max="8" width="16.75" customWidth="1"/>
  </cols>
  <sheetData>
    <row r="1" spans="1:7" ht="15" x14ac:dyDescent="0.2">
      <c r="A1" s="5" t="s">
        <v>16</v>
      </c>
      <c r="B1" s="5" t="s">
        <v>85</v>
      </c>
      <c r="C1" s="5" t="s">
        <v>13</v>
      </c>
      <c r="D1" s="5" t="s">
        <v>8</v>
      </c>
      <c r="E1" s="5" t="s">
        <v>197</v>
      </c>
      <c r="F1" s="5" t="s">
        <v>62</v>
      </c>
      <c r="G1" s="6" t="s">
        <v>69</v>
      </c>
    </row>
    <row r="2" spans="1:7" x14ac:dyDescent="0.2">
      <c r="A2" t="s">
        <v>15</v>
      </c>
      <c r="B2" t="s">
        <v>86</v>
      </c>
      <c r="C2" t="s">
        <v>9</v>
      </c>
      <c r="D2" t="s">
        <v>9</v>
      </c>
      <c r="E2" t="s">
        <v>9</v>
      </c>
      <c r="F2" t="s">
        <v>63</v>
      </c>
      <c r="G2" t="s">
        <v>63</v>
      </c>
    </row>
    <row r="3" spans="1:7" ht="43.5" customHeight="1" x14ac:dyDescent="0.2">
      <c r="A3" s="2" t="s">
        <v>17</v>
      </c>
      <c r="B3" s="2" t="s">
        <v>87</v>
      </c>
      <c r="C3" s="2" t="s">
        <v>10</v>
      </c>
      <c r="D3" s="2" t="s">
        <v>11</v>
      </c>
      <c r="E3" s="2" t="s">
        <v>12</v>
      </c>
      <c r="F3" s="2" t="s">
        <v>14</v>
      </c>
      <c r="G3" s="2" t="s">
        <v>70</v>
      </c>
    </row>
    <row r="4" spans="1:7" ht="16.5" x14ac:dyDescent="0.2">
      <c r="A4" s="4" t="s">
        <v>19</v>
      </c>
      <c r="B4" s="4">
        <v>1</v>
      </c>
      <c r="C4" s="4" t="s">
        <v>40</v>
      </c>
      <c r="D4" s="4" t="s">
        <v>72</v>
      </c>
      <c r="E4" s="4" t="s">
        <v>91</v>
      </c>
      <c r="F4" s="4" t="s">
        <v>56</v>
      </c>
      <c r="G4" s="3" t="s">
        <v>71</v>
      </c>
    </row>
    <row r="5" spans="1:7" ht="16.5" x14ac:dyDescent="0.2">
      <c r="A5" s="4" t="s">
        <v>19</v>
      </c>
      <c r="B5" s="4">
        <v>2</v>
      </c>
      <c r="C5" s="4" t="s">
        <v>41</v>
      </c>
      <c r="D5" s="4" t="s">
        <v>74</v>
      </c>
      <c r="E5" s="4" t="s">
        <v>91</v>
      </c>
      <c r="F5" s="4" t="s">
        <v>57</v>
      </c>
      <c r="G5" s="3" t="s">
        <v>73</v>
      </c>
    </row>
    <row r="6" spans="1:7" ht="16.5" x14ac:dyDescent="0.2">
      <c r="A6" s="4" t="s">
        <v>19</v>
      </c>
      <c r="B6" s="4">
        <v>3</v>
      </c>
      <c r="C6" s="4" t="s">
        <v>42</v>
      </c>
      <c r="D6" s="4" t="s">
        <v>76</v>
      </c>
      <c r="E6" s="4" t="s">
        <v>91</v>
      </c>
      <c r="F6" s="4" t="s">
        <v>58</v>
      </c>
      <c r="G6" s="3" t="s">
        <v>75</v>
      </c>
    </row>
    <row r="7" spans="1:7" ht="16.5" x14ac:dyDescent="0.2">
      <c r="A7" s="4" t="s">
        <v>19</v>
      </c>
      <c r="B7" s="4">
        <v>4</v>
      </c>
      <c r="C7" s="4" t="s">
        <v>43</v>
      </c>
      <c r="D7" s="4" t="s">
        <v>78</v>
      </c>
      <c r="E7" s="4" t="s">
        <v>91</v>
      </c>
      <c r="F7" s="4" t="s">
        <v>59</v>
      </c>
      <c r="G7" s="3" t="s">
        <v>77</v>
      </c>
    </row>
    <row r="8" spans="1:7" ht="16.5" x14ac:dyDescent="0.2">
      <c r="A8" s="4" t="s">
        <v>19</v>
      </c>
      <c r="B8" s="4">
        <v>5</v>
      </c>
      <c r="C8" s="4" t="s">
        <v>44</v>
      </c>
      <c r="D8" s="4" t="s">
        <v>80</v>
      </c>
      <c r="E8" s="4" t="s">
        <v>91</v>
      </c>
      <c r="F8" s="4" t="s">
        <v>60</v>
      </c>
      <c r="G8" s="3" t="s">
        <v>79</v>
      </c>
    </row>
    <row r="9" spans="1:7" ht="16.5" x14ac:dyDescent="0.2">
      <c r="A9" s="4" t="s">
        <v>19</v>
      </c>
      <c r="B9" s="4">
        <v>6</v>
      </c>
      <c r="C9" s="4" t="s">
        <v>45</v>
      </c>
      <c r="D9" s="4" t="s">
        <v>82</v>
      </c>
      <c r="E9" s="4" t="s">
        <v>91</v>
      </c>
      <c r="F9" s="4" t="s">
        <v>61</v>
      </c>
      <c r="G9" s="3" t="s">
        <v>81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46"/>
  <sheetViews>
    <sheetView workbookViewId="0">
      <selection sqref="A1:F3"/>
    </sheetView>
  </sheetViews>
  <sheetFormatPr defaultRowHeight="14.25" x14ac:dyDescent="0.2"/>
  <cols>
    <col min="1" max="1" width="29.5" customWidth="1"/>
    <col min="2" max="2" width="13.125" customWidth="1"/>
    <col min="3" max="3" width="21.375" customWidth="1"/>
    <col min="4" max="4" width="30.5" customWidth="1"/>
    <col min="5" max="5" width="20.5" customWidth="1"/>
    <col min="6" max="6" width="33" customWidth="1"/>
    <col min="7" max="7" width="26.25" customWidth="1"/>
    <col min="8" max="8" width="19.625" customWidth="1"/>
    <col min="9" max="9" width="21.125" customWidth="1"/>
    <col min="10" max="10" width="24.25" customWidth="1"/>
    <col min="11" max="12" width="16.75" customWidth="1"/>
    <col min="13" max="13" width="22.625" customWidth="1"/>
    <col min="14" max="14" width="41.25" customWidth="1"/>
  </cols>
  <sheetData>
    <row r="1" spans="1:14" ht="15" x14ac:dyDescent="0.2">
      <c r="A1" s="5" t="s">
        <v>16</v>
      </c>
      <c r="B1" s="5" t="s">
        <v>85</v>
      </c>
      <c r="C1" s="5" t="s">
        <v>13</v>
      </c>
      <c r="D1" s="5" t="s">
        <v>8</v>
      </c>
      <c r="E1" s="5" t="s">
        <v>197</v>
      </c>
      <c r="F1" s="5" t="s">
        <v>62</v>
      </c>
      <c r="G1" s="6" t="s">
        <v>198</v>
      </c>
      <c r="H1" s="6" t="s">
        <v>199</v>
      </c>
      <c r="I1" s="6" t="s">
        <v>200</v>
      </c>
      <c r="J1" s="6" t="s">
        <v>201</v>
      </c>
    </row>
    <row r="2" spans="1:14" x14ac:dyDescent="0.2">
      <c r="A2" t="s">
        <v>9</v>
      </c>
      <c r="B2" t="s">
        <v>86</v>
      </c>
      <c r="C2" t="s">
        <v>9</v>
      </c>
      <c r="D2" t="s">
        <v>9</v>
      </c>
      <c r="E2" t="s">
        <v>9</v>
      </c>
      <c r="F2" t="s">
        <v>63</v>
      </c>
      <c r="G2" t="s">
        <v>63</v>
      </c>
      <c r="H2" t="s">
        <v>63</v>
      </c>
      <c r="I2" t="s">
        <v>196</v>
      </c>
      <c r="J2" t="s">
        <v>196</v>
      </c>
    </row>
    <row r="3" spans="1:14" ht="43.5" customHeight="1" x14ac:dyDescent="0.2">
      <c r="A3" s="2" t="s">
        <v>17</v>
      </c>
      <c r="B3" s="2" t="s">
        <v>87</v>
      </c>
      <c r="C3" s="2" t="s">
        <v>10</v>
      </c>
      <c r="D3" s="2" t="s">
        <v>11</v>
      </c>
      <c r="E3" s="2" t="s">
        <v>12</v>
      </c>
      <c r="F3" s="2" t="s">
        <v>14</v>
      </c>
      <c r="G3" s="2" t="s">
        <v>179</v>
      </c>
      <c r="H3" s="2" t="s">
        <v>195</v>
      </c>
      <c r="I3" s="2"/>
      <c r="J3" s="2"/>
    </row>
    <row r="4" spans="1:14" ht="16.5" x14ac:dyDescent="0.2">
      <c r="A4" s="3" t="s">
        <v>90</v>
      </c>
      <c r="B4" s="3">
        <v>1</v>
      </c>
      <c r="C4" s="3" t="str">
        <f>"device_"&amp;N4</f>
        <v>device_xtq</v>
      </c>
      <c r="D4" s="3" t="str">
        <f>M4&amp;"の油烟设备"</f>
        <v>湘土情の油烟设备</v>
      </c>
      <c r="E4" s="4" t="s">
        <v>178</v>
      </c>
      <c r="F4" s="3" t="str">
        <f>D4</f>
        <v>湘土情の油烟设备</v>
      </c>
      <c r="G4" s="4" t="s">
        <v>180</v>
      </c>
      <c r="H4" s="4">
        <v>18703632327</v>
      </c>
      <c r="I4" s="4">
        <v>113.627341</v>
      </c>
      <c r="J4" s="4">
        <v>34.732633999999997</v>
      </c>
      <c r="M4" s="7" t="s">
        <v>92</v>
      </c>
      <c r="N4" s="9" t="s">
        <v>135</v>
      </c>
    </row>
    <row r="5" spans="1:14" ht="16.5" x14ac:dyDescent="0.2">
      <c r="A5" s="3" t="s">
        <v>90</v>
      </c>
      <c r="B5" s="3">
        <v>2</v>
      </c>
      <c r="C5" s="3" t="str">
        <f t="shared" ref="C5:C46" si="0">"device_"&amp;N5</f>
        <v>device_tblhnyxd</v>
      </c>
      <c r="D5" s="3" t="str">
        <f t="shared" ref="D5:D46" si="1">M5&amp;"の油烟设备"</f>
        <v>桐柏路湖南印象酒店の油烟设备</v>
      </c>
      <c r="E5" s="4" t="s">
        <v>178</v>
      </c>
      <c r="F5" s="3" t="str">
        <f t="shared" ref="F5:F46" si="2">D5</f>
        <v>桐柏路湖南印象酒店の油烟设备</v>
      </c>
      <c r="G5" s="4" t="s">
        <v>181</v>
      </c>
      <c r="H5" s="4">
        <v>13213212267</v>
      </c>
      <c r="I5" s="4">
        <v>113.62517699999999</v>
      </c>
      <c r="J5" s="4">
        <v>34.780310999999998</v>
      </c>
      <c r="M5" s="7" t="s">
        <v>93</v>
      </c>
      <c r="N5" s="9" t="s">
        <v>136</v>
      </c>
    </row>
    <row r="6" spans="1:14" ht="16.5" x14ac:dyDescent="0.2">
      <c r="A6" s="3" t="s">
        <v>90</v>
      </c>
      <c r="B6" s="3">
        <v>3</v>
      </c>
      <c r="C6" s="3" t="str">
        <f t="shared" si="0"/>
        <v>device_jjytbld</v>
      </c>
      <c r="D6" s="3" t="str">
        <f t="shared" si="1"/>
        <v>久久缘桐柏路店の油烟设备</v>
      </c>
      <c r="E6" s="4" t="s">
        <v>178</v>
      </c>
      <c r="F6" s="3" t="str">
        <f t="shared" si="2"/>
        <v>久久缘桐柏路店の油烟设备</v>
      </c>
      <c r="G6" s="4" t="s">
        <v>182</v>
      </c>
      <c r="H6" s="4">
        <v>15238302525</v>
      </c>
      <c r="I6" s="4">
        <v>113.61998699999999</v>
      </c>
      <c r="J6" s="4">
        <v>34.746273000000002</v>
      </c>
      <c r="M6" s="7" t="s">
        <v>94</v>
      </c>
      <c r="N6" s="9" t="s">
        <v>137</v>
      </c>
    </row>
    <row r="7" spans="1:14" ht="16.5" x14ac:dyDescent="0.2">
      <c r="A7" s="3" t="s">
        <v>90</v>
      </c>
      <c r="B7" s="3">
        <v>4</v>
      </c>
      <c r="C7" s="3" t="str">
        <f t="shared" si="0"/>
        <v>device_jmwsxmg</v>
      </c>
      <c r="D7" s="3" t="str">
        <f t="shared" si="1"/>
        <v>晋麦王山西面馆の油烟设备</v>
      </c>
      <c r="E7" s="4" t="s">
        <v>178</v>
      </c>
      <c r="F7" s="3" t="str">
        <f t="shared" si="2"/>
        <v>晋麦王山西面馆の油烟设备</v>
      </c>
      <c r="G7" s="4" t="s">
        <v>183</v>
      </c>
      <c r="H7" s="4">
        <v>18937648995</v>
      </c>
      <c r="I7" s="4">
        <v>113.534504</v>
      </c>
      <c r="J7" s="4">
        <v>34.771725000000004</v>
      </c>
      <c r="M7" s="8" t="s">
        <v>95</v>
      </c>
      <c r="N7" s="9" t="s">
        <v>138</v>
      </c>
    </row>
    <row r="8" spans="1:14" ht="16.5" x14ac:dyDescent="0.2">
      <c r="A8" s="3" t="s">
        <v>90</v>
      </c>
      <c r="B8" s="3">
        <v>5</v>
      </c>
      <c r="C8" s="3" t="str">
        <f t="shared" si="0"/>
        <v>device_szgjdjd</v>
      </c>
      <c r="D8" s="3" t="str">
        <f t="shared" si="1"/>
        <v>中州国际大饭店の油烟设备</v>
      </c>
      <c r="E8" s="4" t="s">
        <v>178</v>
      </c>
      <c r="F8" s="3" t="str">
        <f t="shared" si="2"/>
        <v>中州国际大饭店の油烟设备</v>
      </c>
      <c r="G8" s="4" t="s">
        <v>184</v>
      </c>
      <c r="H8" s="4">
        <v>13014584605</v>
      </c>
      <c r="I8" s="4">
        <v>113.611512</v>
      </c>
      <c r="J8" s="4">
        <v>34.769381000000003</v>
      </c>
      <c r="M8" s="8" t="s">
        <v>96</v>
      </c>
      <c r="N8" s="9" t="s">
        <v>139</v>
      </c>
    </row>
    <row r="9" spans="1:14" ht="16.5" x14ac:dyDescent="0.2">
      <c r="A9" s="3" t="s">
        <v>90</v>
      </c>
      <c r="B9" s="3">
        <v>6</v>
      </c>
      <c r="C9" s="3" t="str">
        <f t="shared" si="0"/>
        <v>device_yqjd</v>
      </c>
      <c r="D9" s="3" t="str">
        <f t="shared" si="1"/>
        <v>宴秋酒店の油烟设备</v>
      </c>
      <c r="E9" s="4" t="s">
        <v>178</v>
      </c>
      <c r="F9" s="3" t="str">
        <f t="shared" si="2"/>
        <v>宴秋酒店の油烟设备</v>
      </c>
      <c r="G9" s="4" t="s">
        <v>185</v>
      </c>
      <c r="H9" s="4">
        <v>13480885650</v>
      </c>
      <c r="I9" s="4">
        <v>113.611512</v>
      </c>
      <c r="J9" s="4">
        <v>34.769381000000003</v>
      </c>
      <c r="M9" s="8" t="s">
        <v>97</v>
      </c>
      <c r="N9" s="9" t="s">
        <v>140</v>
      </c>
    </row>
    <row r="10" spans="1:14" ht="18.75" customHeight="1" x14ac:dyDescent="0.2">
      <c r="A10" s="3" t="s">
        <v>90</v>
      </c>
      <c r="B10" s="3">
        <v>7</v>
      </c>
      <c r="C10" s="3" t="str">
        <f t="shared" si="0"/>
        <v>device_xyjd</v>
      </c>
      <c r="D10" s="3" t="str">
        <f t="shared" si="1"/>
        <v>熙园饭店の油烟设备</v>
      </c>
      <c r="E10" s="4" t="s">
        <v>178</v>
      </c>
      <c r="F10" s="3" t="str">
        <f t="shared" si="2"/>
        <v>熙园饭店の油烟设备</v>
      </c>
      <c r="G10" s="4" t="s">
        <v>182</v>
      </c>
      <c r="H10" s="4">
        <v>15093193333</v>
      </c>
      <c r="I10" s="4">
        <v>113.610281</v>
      </c>
      <c r="J10" s="4">
        <v>34.746412999999997</v>
      </c>
      <c r="M10" s="8" t="s">
        <v>98</v>
      </c>
      <c r="N10" s="9" t="s">
        <v>141</v>
      </c>
    </row>
    <row r="11" spans="1:14" ht="16.5" x14ac:dyDescent="0.2">
      <c r="A11" s="3" t="s">
        <v>90</v>
      </c>
      <c r="B11" s="3">
        <v>8</v>
      </c>
      <c r="C11" s="3" t="str">
        <f t="shared" si="0"/>
        <v>device_csbemdjd</v>
      </c>
      <c r="D11" s="3" t="str">
        <f t="shared" si="1"/>
        <v>长实彼尔曼大酒店の油烟设备</v>
      </c>
      <c r="E11" s="4" t="s">
        <v>178</v>
      </c>
      <c r="F11" s="3" t="str">
        <f t="shared" si="2"/>
        <v>长实彼尔曼大酒店の油烟设备</v>
      </c>
      <c r="G11" s="4" t="s">
        <v>186</v>
      </c>
      <c r="H11" s="4">
        <v>13803827330</v>
      </c>
      <c r="I11" s="4">
        <v>113.60705400000001</v>
      </c>
      <c r="J11" s="4">
        <v>34.754137999999998</v>
      </c>
      <c r="M11" s="8" t="s">
        <v>99</v>
      </c>
      <c r="N11" s="9" t="s">
        <v>142</v>
      </c>
    </row>
    <row r="12" spans="1:14" ht="16.5" x14ac:dyDescent="0.2">
      <c r="A12" s="3" t="s">
        <v>90</v>
      </c>
      <c r="B12" s="3">
        <v>9</v>
      </c>
      <c r="C12" s="3" t="str">
        <f t="shared" si="0"/>
        <v>device_zjxy</v>
      </c>
      <c r="D12" s="3" t="str">
        <f t="shared" si="1"/>
        <v>咱家小院の油烟设备</v>
      </c>
      <c r="E12" s="4" t="s">
        <v>178</v>
      </c>
      <c r="F12" s="3" t="str">
        <f t="shared" si="2"/>
        <v>咱家小院の油烟设备</v>
      </c>
      <c r="G12" s="4" t="s">
        <v>187</v>
      </c>
      <c r="H12" s="4">
        <v>18613716289</v>
      </c>
      <c r="I12" s="4">
        <v>113.56533899999999</v>
      </c>
      <c r="J12" s="4">
        <v>34.758856999999999</v>
      </c>
      <c r="M12" s="8" t="s">
        <v>100</v>
      </c>
      <c r="N12" s="9" t="s">
        <v>143</v>
      </c>
    </row>
    <row r="13" spans="1:14" ht="16.5" x14ac:dyDescent="0.2">
      <c r="A13" s="3" t="s">
        <v>90</v>
      </c>
      <c r="B13" s="3">
        <v>10</v>
      </c>
      <c r="C13" s="3" t="str">
        <f t="shared" si="0"/>
        <v>device_dhmsc</v>
      </c>
      <c r="D13" s="3" t="str">
        <f t="shared" si="1"/>
        <v>帝湖美食城の油烟设备</v>
      </c>
      <c r="E13" s="4" t="s">
        <v>178</v>
      </c>
      <c r="F13" s="3" t="str">
        <f t="shared" si="2"/>
        <v>帝湖美食城の油烟设备</v>
      </c>
      <c r="G13" s="4" t="s">
        <v>188</v>
      </c>
      <c r="H13" s="4">
        <v>18503845809</v>
      </c>
      <c r="I13" s="4">
        <v>113.622269</v>
      </c>
      <c r="J13" s="4">
        <v>34.726483000000002</v>
      </c>
      <c r="M13" s="8" t="s">
        <v>101</v>
      </c>
      <c r="N13" s="9" t="s">
        <v>144</v>
      </c>
    </row>
    <row r="14" spans="1:14" ht="16.5" x14ac:dyDescent="0.2">
      <c r="A14" s="3" t="s">
        <v>90</v>
      </c>
      <c r="B14" s="3">
        <v>11</v>
      </c>
      <c r="C14" s="3" t="str">
        <f t="shared" si="0"/>
        <v>device_xjhnchsld</v>
      </c>
      <c r="D14" s="3" t="str">
        <f t="shared" si="1"/>
        <v>解家河南菜华山路店の油烟设备</v>
      </c>
      <c r="E14" s="4" t="s">
        <v>178</v>
      </c>
      <c r="F14" s="3" t="str">
        <f t="shared" si="2"/>
        <v>解家河南菜华山路店の油烟设备</v>
      </c>
      <c r="G14" s="4" t="s">
        <v>182</v>
      </c>
      <c r="H14" s="4">
        <v>13140031933</v>
      </c>
      <c r="I14" s="4">
        <v>113.60602799999999</v>
      </c>
      <c r="J14" s="4">
        <v>34.752628000000001</v>
      </c>
      <c r="M14" s="8" t="s">
        <v>102</v>
      </c>
      <c r="N14" s="9" t="s">
        <v>145</v>
      </c>
    </row>
    <row r="15" spans="1:14" ht="16.5" x14ac:dyDescent="0.2">
      <c r="A15" s="3" t="s">
        <v>90</v>
      </c>
      <c r="B15" s="3">
        <v>12</v>
      </c>
      <c r="C15" s="3" t="str">
        <f t="shared" si="0"/>
        <v>device_nnwlhld</v>
      </c>
      <c r="D15" s="3" t="str">
        <f t="shared" si="1"/>
        <v>南泥湾陇海路店の油烟设备</v>
      </c>
      <c r="E15" s="4" t="s">
        <v>178</v>
      </c>
      <c r="F15" s="3" t="str">
        <f t="shared" si="2"/>
        <v>南泥湾陇海路店の油烟设备</v>
      </c>
      <c r="G15" s="4" t="s">
        <v>182</v>
      </c>
      <c r="H15" s="4">
        <v>15138976696</v>
      </c>
      <c r="I15" s="4">
        <v>113.615531</v>
      </c>
      <c r="J15" s="4">
        <v>34.742019999999997</v>
      </c>
      <c r="M15" s="8" t="s">
        <v>103</v>
      </c>
      <c r="N15" s="9" t="s">
        <v>146</v>
      </c>
    </row>
    <row r="16" spans="1:14" ht="16.5" x14ac:dyDescent="0.2">
      <c r="A16" s="3" t="s">
        <v>90</v>
      </c>
      <c r="B16" s="3">
        <v>13</v>
      </c>
      <c r="C16" s="3" t="str">
        <f t="shared" si="0"/>
        <v>device_jhy</v>
      </c>
      <c r="D16" s="3" t="str">
        <f t="shared" si="1"/>
        <v>菁华园の油烟设备</v>
      </c>
      <c r="E16" s="4" t="s">
        <v>178</v>
      </c>
      <c r="F16" s="3" t="str">
        <f t="shared" si="2"/>
        <v>菁华园の油烟设备</v>
      </c>
      <c r="G16" s="4" t="s">
        <v>189</v>
      </c>
      <c r="H16" s="4">
        <v>15936216518</v>
      </c>
      <c r="I16" s="4">
        <v>113.581733</v>
      </c>
      <c r="J16" s="4">
        <v>34.752358000000001</v>
      </c>
      <c r="M16" s="8" t="s">
        <v>104</v>
      </c>
      <c r="N16" s="9" t="s">
        <v>147</v>
      </c>
    </row>
    <row r="17" spans="1:14" ht="16.5" x14ac:dyDescent="0.2">
      <c r="A17" s="3" t="s">
        <v>90</v>
      </c>
      <c r="B17" s="3">
        <v>14</v>
      </c>
      <c r="C17" s="3" t="str">
        <f t="shared" si="0"/>
        <v>device_xjhncnyld</v>
      </c>
      <c r="D17" s="3" t="str">
        <f t="shared" si="1"/>
        <v>解家河南菜农业路店の油烟设备</v>
      </c>
      <c r="E17" s="4" t="s">
        <v>178</v>
      </c>
      <c r="F17" s="3" t="str">
        <f t="shared" si="2"/>
        <v>解家河南菜农业路店の油烟设备</v>
      </c>
      <c r="G17" s="4" t="s">
        <v>181</v>
      </c>
      <c r="H17" s="4">
        <v>15225150668</v>
      </c>
      <c r="I17" s="4">
        <v>113.626013</v>
      </c>
      <c r="J17" s="4">
        <v>34.781672</v>
      </c>
      <c r="M17" s="8" t="s">
        <v>105</v>
      </c>
      <c r="N17" s="9" t="s">
        <v>148</v>
      </c>
    </row>
    <row r="18" spans="1:14" ht="20.25" customHeight="1" x14ac:dyDescent="0.2">
      <c r="A18" s="3" t="s">
        <v>90</v>
      </c>
      <c r="B18" s="3">
        <v>15</v>
      </c>
      <c r="C18" s="3" t="str">
        <f t="shared" si="0"/>
        <v>device_dlkcsjyzgst</v>
      </c>
      <c r="D18" s="3" t="str">
        <f t="shared" si="1"/>
        <v>电力勘测设计院职工食堂の油烟设备</v>
      </c>
      <c r="E18" s="4" t="s">
        <v>178</v>
      </c>
      <c r="F18" s="3" t="str">
        <f t="shared" si="2"/>
        <v>电力勘测设计院职工食堂の油烟设备</v>
      </c>
      <c r="G18" s="4" t="s">
        <v>190</v>
      </c>
      <c r="H18" s="4">
        <v>13333820123</v>
      </c>
      <c r="I18" s="4">
        <v>113.629085</v>
      </c>
      <c r="J18" s="4">
        <v>34.754021000000002</v>
      </c>
      <c r="M18" s="8" t="s">
        <v>106</v>
      </c>
      <c r="N18" s="9" t="s">
        <v>149</v>
      </c>
    </row>
    <row r="19" spans="1:14" ht="16.5" x14ac:dyDescent="0.2">
      <c r="A19" s="3" t="s">
        <v>90</v>
      </c>
      <c r="B19" s="3">
        <v>16</v>
      </c>
      <c r="C19" s="3" t="str">
        <f t="shared" si="0"/>
        <v>device_zfj</v>
      </c>
      <c r="D19" s="3" t="str">
        <f t="shared" si="1"/>
        <v>张福记の油烟设备</v>
      </c>
      <c r="E19" s="4" t="s">
        <v>178</v>
      </c>
      <c r="F19" s="3" t="str">
        <f t="shared" si="2"/>
        <v>张福记の油烟设备</v>
      </c>
      <c r="G19" s="4" t="s">
        <v>191</v>
      </c>
      <c r="H19" s="4"/>
      <c r="I19" s="4"/>
      <c r="J19" s="4"/>
      <c r="M19" s="8" t="s">
        <v>107</v>
      </c>
      <c r="N19" s="9" t="s">
        <v>150</v>
      </c>
    </row>
    <row r="20" spans="1:14" ht="16.5" x14ac:dyDescent="0.2">
      <c r="A20" s="3" t="s">
        <v>90</v>
      </c>
      <c r="B20" s="3">
        <v>17</v>
      </c>
      <c r="C20" s="3" t="str">
        <f t="shared" si="0"/>
        <v>device_gjmbtbld</v>
      </c>
      <c r="D20" s="3" t="str">
        <f t="shared" si="1"/>
        <v>葛记焖饼桐柏路店の油烟设备</v>
      </c>
      <c r="E20" s="4" t="s">
        <v>178</v>
      </c>
      <c r="F20" s="3" t="str">
        <f t="shared" si="2"/>
        <v>葛记焖饼桐柏路店の油烟设备</v>
      </c>
      <c r="G20" s="4" t="s">
        <v>180</v>
      </c>
      <c r="H20" s="4"/>
      <c r="I20" s="4"/>
      <c r="J20" s="4"/>
      <c r="M20" s="8" t="s">
        <v>108</v>
      </c>
      <c r="N20" s="9" t="s">
        <v>151</v>
      </c>
    </row>
    <row r="21" spans="1:14" ht="16.5" x14ac:dyDescent="0.2">
      <c r="A21" s="3" t="s">
        <v>90</v>
      </c>
      <c r="B21" s="3">
        <v>18</v>
      </c>
      <c r="C21" s="3" t="str">
        <f t="shared" si="0"/>
        <v>device_mjd</v>
      </c>
      <c r="D21" s="3" t="str">
        <f t="shared" si="1"/>
        <v>M酒店の油烟设备</v>
      </c>
      <c r="E21" s="4" t="s">
        <v>178</v>
      </c>
      <c r="F21" s="3" t="str">
        <f t="shared" si="2"/>
        <v>M酒店の油烟设备</v>
      </c>
      <c r="G21" s="4" t="s">
        <v>190</v>
      </c>
      <c r="H21" s="4"/>
      <c r="I21" s="4"/>
      <c r="J21" s="4"/>
      <c r="M21" s="8" t="s">
        <v>109</v>
      </c>
      <c r="N21" s="9" t="s">
        <v>152</v>
      </c>
    </row>
    <row r="22" spans="1:14" ht="16.5" x14ac:dyDescent="0.2">
      <c r="A22" s="3" t="s">
        <v>90</v>
      </c>
      <c r="B22" s="3">
        <v>19</v>
      </c>
      <c r="C22" s="3" t="str">
        <f t="shared" si="0"/>
        <v>device_hbjst</v>
      </c>
      <c r="D22" s="3" t="str">
        <f t="shared" si="1"/>
        <v>环保局食堂の油烟设备</v>
      </c>
      <c r="E22" s="4" t="s">
        <v>178</v>
      </c>
      <c r="F22" s="3" t="str">
        <f t="shared" si="2"/>
        <v>环保局食堂の油烟设备</v>
      </c>
      <c r="G22" s="4" t="s">
        <v>192</v>
      </c>
      <c r="H22" s="4"/>
      <c r="I22" s="4"/>
      <c r="J22" s="4"/>
      <c r="M22" s="8" t="s">
        <v>110</v>
      </c>
      <c r="N22" s="9" t="s">
        <v>153</v>
      </c>
    </row>
    <row r="23" spans="1:14" ht="16.5" x14ac:dyDescent="0.2">
      <c r="A23" s="3" t="s">
        <v>90</v>
      </c>
      <c r="B23" s="3">
        <v>20</v>
      </c>
      <c r="C23" s="3" t="str">
        <f t="shared" si="0"/>
        <v>device_schyr</v>
      </c>
      <c r="D23" s="3" t="str">
        <f t="shared" si="1"/>
        <v>三厂烩羊肉の油烟设备</v>
      </c>
      <c r="E23" s="4" t="s">
        <v>178</v>
      </c>
      <c r="F23" s="3" t="str">
        <f t="shared" si="2"/>
        <v>三厂烩羊肉の油烟设备</v>
      </c>
      <c r="G23" s="4" t="s">
        <v>188</v>
      </c>
      <c r="H23" s="4"/>
      <c r="I23" s="4"/>
      <c r="J23" s="4"/>
      <c r="M23" s="8" t="s">
        <v>111</v>
      </c>
      <c r="N23" s="9" t="s">
        <v>154</v>
      </c>
    </row>
    <row r="24" spans="1:14" ht="16.5" x14ac:dyDescent="0.2">
      <c r="A24" s="3" t="s">
        <v>90</v>
      </c>
      <c r="B24" s="3">
        <v>21</v>
      </c>
      <c r="C24" s="3" t="str">
        <f t="shared" si="0"/>
        <v>device_xngjd</v>
      </c>
      <c r="D24" s="3" t="str">
        <f t="shared" si="1"/>
        <v>小南国酒店の油烟设备</v>
      </c>
      <c r="E24" s="4" t="s">
        <v>178</v>
      </c>
      <c r="F24" s="3" t="str">
        <f t="shared" si="2"/>
        <v>小南国酒店の油烟设备</v>
      </c>
      <c r="G24" s="4" t="s">
        <v>190</v>
      </c>
      <c r="H24" s="4"/>
      <c r="I24" s="4"/>
      <c r="J24" s="4"/>
      <c r="M24" s="8" t="s">
        <v>112</v>
      </c>
      <c r="N24" s="9" t="s">
        <v>155</v>
      </c>
    </row>
    <row r="25" spans="1:14" ht="16.5" x14ac:dyDescent="0.2">
      <c r="A25" s="3" t="s">
        <v>90</v>
      </c>
      <c r="B25" s="3">
        <v>22</v>
      </c>
      <c r="C25" s="3" t="str">
        <f t="shared" si="0"/>
        <v>device_xjhnclhld</v>
      </c>
      <c r="D25" s="3" t="str">
        <f t="shared" si="1"/>
        <v>谢家河南菜陇海路店の油烟设备</v>
      </c>
      <c r="E25" s="4" t="s">
        <v>178</v>
      </c>
      <c r="F25" s="3" t="str">
        <f t="shared" si="2"/>
        <v>谢家河南菜陇海路店の油烟设备</v>
      </c>
      <c r="G25" s="4" t="s">
        <v>182</v>
      </c>
      <c r="H25" s="4"/>
      <c r="I25" s="4"/>
      <c r="J25" s="4"/>
      <c r="M25" s="8" t="s">
        <v>113</v>
      </c>
      <c r="N25" s="9" t="s">
        <v>156</v>
      </c>
    </row>
    <row r="26" spans="1:14" ht="16.5" x14ac:dyDescent="0.2">
      <c r="A26" s="3" t="s">
        <v>90</v>
      </c>
      <c r="B26" s="3">
        <v>23</v>
      </c>
      <c r="C26" s="3" t="str">
        <f t="shared" si="0"/>
        <v>device_jwst</v>
      </c>
      <c r="D26" s="3" t="str">
        <f t="shared" si="1"/>
        <v>建委食堂の油烟设备</v>
      </c>
      <c r="E26" s="4" t="s">
        <v>178</v>
      </c>
      <c r="F26" s="3" t="str">
        <f t="shared" si="2"/>
        <v>建委食堂の油烟设备</v>
      </c>
      <c r="G26" s="4" t="s">
        <v>180</v>
      </c>
      <c r="H26" s="4"/>
      <c r="I26" s="4"/>
      <c r="J26" s="4"/>
      <c r="M26" s="8" t="s">
        <v>114</v>
      </c>
      <c r="N26" s="9" t="s">
        <v>157</v>
      </c>
    </row>
    <row r="27" spans="1:14" ht="16.5" x14ac:dyDescent="0.2">
      <c r="A27" s="3" t="s">
        <v>90</v>
      </c>
      <c r="B27" s="3">
        <v>24</v>
      </c>
      <c r="C27" s="3" t="str">
        <f t="shared" si="0"/>
        <v>device_mjmc</v>
      </c>
      <c r="D27" s="3" t="str">
        <f t="shared" si="1"/>
        <v>名家名厨の油烟设备</v>
      </c>
      <c r="E27" s="4" t="s">
        <v>178</v>
      </c>
      <c r="F27" s="3" t="str">
        <f t="shared" si="2"/>
        <v>名家名厨の油烟设备</v>
      </c>
      <c r="G27" s="4" t="s">
        <v>190</v>
      </c>
      <c r="H27" s="4"/>
      <c r="I27" s="4"/>
      <c r="J27" s="4"/>
      <c r="M27" s="8" t="s">
        <v>115</v>
      </c>
      <c r="N27" s="9" t="s">
        <v>158</v>
      </c>
    </row>
    <row r="28" spans="1:14" ht="16.5" x14ac:dyDescent="0.2">
      <c r="A28" s="3" t="s">
        <v>90</v>
      </c>
      <c r="B28" s="3">
        <v>25</v>
      </c>
      <c r="C28" s="3" t="str">
        <f t="shared" si="0"/>
        <v>device_nnwqlld</v>
      </c>
      <c r="D28" s="3" t="str">
        <f t="shared" si="1"/>
        <v>南泥湾秦岭路店の油烟设备</v>
      </c>
      <c r="E28" s="4" t="s">
        <v>178</v>
      </c>
      <c r="F28" s="3" t="str">
        <f t="shared" si="2"/>
        <v>南泥湾秦岭路店の油烟设备</v>
      </c>
      <c r="G28" s="4" t="s">
        <v>188</v>
      </c>
      <c r="H28" s="4"/>
      <c r="I28" s="4"/>
      <c r="J28" s="4"/>
      <c r="M28" s="8" t="s">
        <v>116</v>
      </c>
      <c r="N28" s="9" t="s">
        <v>159</v>
      </c>
    </row>
    <row r="29" spans="1:14" ht="16.5" x14ac:dyDescent="0.2">
      <c r="A29" s="3" t="s">
        <v>90</v>
      </c>
      <c r="B29" s="3">
        <v>26</v>
      </c>
      <c r="C29" s="3" t="str">
        <f t="shared" si="0"/>
        <v>device_hdqjld</v>
      </c>
      <c r="D29" s="3" t="str">
        <f t="shared" si="1"/>
        <v>华都前进路店の油烟设备</v>
      </c>
      <c r="E29" s="4" t="s">
        <v>178</v>
      </c>
      <c r="F29" s="3" t="str">
        <f t="shared" si="2"/>
        <v>华都前进路店の油烟设备</v>
      </c>
      <c r="G29" s="4" t="s">
        <v>191</v>
      </c>
      <c r="H29" s="4"/>
      <c r="I29" s="4"/>
      <c r="J29" s="4"/>
      <c r="M29" s="8" t="s">
        <v>117</v>
      </c>
      <c r="N29" s="9" t="s">
        <v>160</v>
      </c>
    </row>
    <row r="30" spans="1:14" ht="16.5" x14ac:dyDescent="0.2">
      <c r="A30" s="3" t="s">
        <v>90</v>
      </c>
      <c r="B30" s="3">
        <v>27</v>
      </c>
      <c r="C30" s="3" t="str">
        <f t="shared" si="0"/>
        <v>device_sxx</v>
      </c>
      <c r="D30" s="3" t="str">
        <f t="shared" si="1"/>
        <v>蜀香轩の油烟设备</v>
      </c>
      <c r="E30" s="4" t="s">
        <v>178</v>
      </c>
      <c r="F30" s="3" t="str">
        <f t="shared" si="2"/>
        <v>蜀香轩の油烟设备</v>
      </c>
      <c r="G30" s="4" t="s">
        <v>180</v>
      </c>
      <c r="H30" s="4"/>
      <c r="I30" s="4"/>
      <c r="J30" s="4"/>
      <c r="M30" s="8" t="s">
        <v>118</v>
      </c>
      <c r="N30" s="9" t="s">
        <v>161</v>
      </c>
    </row>
    <row r="31" spans="1:14" ht="16.5" x14ac:dyDescent="0.2">
      <c r="A31" s="3" t="s">
        <v>90</v>
      </c>
      <c r="B31" s="3">
        <v>28</v>
      </c>
      <c r="C31" s="3" t="str">
        <f t="shared" si="0"/>
        <v>device_lbzspyc</v>
      </c>
      <c r="D31" s="3" t="str">
        <f t="shared" si="1"/>
        <v>鲁班张尚品豫菜の油烟设备</v>
      </c>
      <c r="E31" s="4" t="s">
        <v>178</v>
      </c>
      <c r="F31" s="3" t="str">
        <f t="shared" si="2"/>
        <v>鲁班张尚品豫菜の油烟设备</v>
      </c>
      <c r="G31" s="4" t="s">
        <v>188</v>
      </c>
      <c r="H31" s="4"/>
      <c r="I31" s="4"/>
      <c r="J31" s="4"/>
      <c r="M31" s="8" t="s">
        <v>119</v>
      </c>
      <c r="N31" s="9" t="s">
        <v>162</v>
      </c>
    </row>
    <row r="32" spans="1:14" ht="16.5" x14ac:dyDescent="0.2">
      <c r="A32" s="3" t="s">
        <v>90</v>
      </c>
      <c r="B32" s="3">
        <v>29</v>
      </c>
      <c r="C32" s="3" t="str">
        <f t="shared" si="0"/>
        <v>device_hjhmhsld</v>
      </c>
      <c r="D32" s="3" t="str">
        <f t="shared" si="1"/>
        <v>合记烩面华山路店の油烟设备</v>
      </c>
      <c r="E32" s="4" t="s">
        <v>178</v>
      </c>
      <c r="F32" s="3" t="str">
        <f t="shared" si="2"/>
        <v>合记烩面华山路店の油烟设备</v>
      </c>
      <c r="G32" s="4" t="s">
        <v>192</v>
      </c>
      <c r="H32" s="4"/>
      <c r="I32" s="4"/>
      <c r="J32" s="4"/>
      <c r="M32" s="8" t="s">
        <v>120</v>
      </c>
      <c r="N32" s="9" t="s">
        <v>163</v>
      </c>
    </row>
    <row r="33" spans="1:14" ht="16.5" x14ac:dyDescent="0.2">
      <c r="A33" s="3" t="s">
        <v>90</v>
      </c>
      <c r="B33" s="3">
        <v>30</v>
      </c>
      <c r="C33" s="3" t="str">
        <f t="shared" si="0"/>
        <v>device_wdhd</v>
      </c>
      <c r="D33" s="3" t="str">
        <f t="shared" si="1"/>
        <v>万达华都の油烟设备</v>
      </c>
      <c r="E33" s="4" t="s">
        <v>178</v>
      </c>
      <c r="F33" s="3" t="str">
        <f t="shared" si="2"/>
        <v>万达华都の油烟设备</v>
      </c>
      <c r="G33" s="4" t="s">
        <v>186</v>
      </c>
      <c r="H33" s="4"/>
      <c r="I33" s="4"/>
      <c r="J33" s="4"/>
      <c r="M33" s="8" t="s">
        <v>121</v>
      </c>
      <c r="N33" s="9" t="s">
        <v>164</v>
      </c>
    </row>
    <row r="34" spans="1:14" ht="16.5" x14ac:dyDescent="0.2">
      <c r="A34" s="3" t="s">
        <v>90</v>
      </c>
      <c r="B34" s="3">
        <v>31</v>
      </c>
      <c r="C34" s="3" t="str">
        <f t="shared" si="0"/>
        <v>device_ldjhmg</v>
      </c>
      <c r="D34" s="3" t="str">
        <f t="shared" si="1"/>
        <v>老东家烩面馆の油烟设备</v>
      </c>
      <c r="E34" s="4" t="s">
        <v>178</v>
      </c>
      <c r="F34" s="3" t="str">
        <f t="shared" si="2"/>
        <v>老东家烩面馆の油烟设备</v>
      </c>
      <c r="G34" s="4" t="s">
        <v>188</v>
      </c>
      <c r="H34" s="4"/>
      <c r="I34" s="4"/>
      <c r="J34" s="4"/>
      <c r="M34" s="8" t="s">
        <v>122</v>
      </c>
      <c r="N34" s="9" t="s">
        <v>165</v>
      </c>
    </row>
    <row r="35" spans="1:14" ht="16.5" x14ac:dyDescent="0.2">
      <c r="A35" s="3" t="s">
        <v>90</v>
      </c>
      <c r="B35" s="3">
        <v>32</v>
      </c>
      <c r="C35" s="3" t="str">
        <f t="shared" si="0"/>
        <v>device_yml</v>
      </c>
      <c r="D35" s="3" t="str">
        <f t="shared" si="1"/>
        <v>豫满楼の油烟设备</v>
      </c>
      <c r="E35" s="4" t="s">
        <v>178</v>
      </c>
      <c r="F35" s="3" t="str">
        <f t="shared" si="2"/>
        <v>豫满楼の油烟设备</v>
      </c>
      <c r="G35" s="4" t="s">
        <v>192</v>
      </c>
      <c r="H35" s="4"/>
      <c r="I35" s="4"/>
      <c r="J35" s="4"/>
      <c r="M35" s="8" t="s">
        <v>123</v>
      </c>
      <c r="N35" s="9" t="s">
        <v>166</v>
      </c>
    </row>
    <row r="36" spans="1:14" ht="16.5" x14ac:dyDescent="0.2">
      <c r="A36" s="3" t="s">
        <v>90</v>
      </c>
      <c r="B36" s="3">
        <v>33</v>
      </c>
      <c r="C36" s="3" t="str">
        <f t="shared" si="0"/>
        <v>device_xjhncssld</v>
      </c>
      <c r="D36" s="3" t="str">
        <f t="shared" si="1"/>
        <v>谢家河南菜嵩山路店の油烟设备</v>
      </c>
      <c r="E36" s="4" t="s">
        <v>178</v>
      </c>
      <c r="F36" s="3" t="str">
        <f t="shared" si="2"/>
        <v>谢家河南菜嵩山路店の油烟设备</v>
      </c>
      <c r="G36" s="4" t="s">
        <v>193</v>
      </c>
      <c r="H36" s="4"/>
      <c r="I36" s="4"/>
      <c r="J36" s="4"/>
      <c r="M36" s="8" t="s">
        <v>124</v>
      </c>
      <c r="N36" s="9" t="s">
        <v>167</v>
      </c>
    </row>
    <row r="37" spans="1:14" ht="16.5" x14ac:dyDescent="0.2">
      <c r="A37" s="3" t="s">
        <v>90</v>
      </c>
      <c r="B37" s="3">
        <v>34</v>
      </c>
      <c r="C37" s="3" t="str">
        <f t="shared" si="0"/>
        <v>device_ydgm</v>
      </c>
      <c r="D37" s="3" t="str">
        <f t="shared" si="1"/>
        <v>裕达国贸の油烟设备</v>
      </c>
      <c r="E37" s="4" t="s">
        <v>178</v>
      </c>
      <c r="F37" s="3" t="str">
        <f t="shared" si="2"/>
        <v>裕达国贸の油烟设备</v>
      </c>
      <c r="G37" s="4" t="s">
        <v>190</v>
      </c>
      <c r="H37" s="4"/>
      <c r="I37" s="4"/>
      <c r="J37" s="4"/>
      <c r="M37" s="8" t="s">
        <v>125</v>
      </c>
      <c r="N37" s="9" t="s">
        <v>168</v>
      </c>
    </row>
    <row r="38" spans="1:14" ht="16.5" x14ac:dyDescent="0.2">
      <c r="A38" s="3" t="s">
        <v>90</v>
      </c>
      <c r="B38" s="3">
        <v>35</v>
      </c>
      <c r="C38" s="3" t="str">
        <f t="shared" si="0"/>
        <v>device_xxsbhld</v>
      </c>
      <c r="D38" s="3" t="str">
        <f t="shared" si="1"/>
        <v>解先生百花路店の油烟设备</v>
      </c>
      <c r="E38" s="4" t="s">
        <v>178</v>
      </c>
      <c r="F38" s="3" t="str">
        <f t="shared" si="2"/>
        <v>解先生百花路店の油烟设备</v>
      </c>
      <c r="G38" s="4" t="s">
        <v>190</v>
      </c>
      <c r="H38" s="4"/>
      <c r="I38" s="4"/>
      <c r="J38" s="4"/>
      <c r="M38" s="8" t="s">
        <v>126</v>
      </c>
      <c r="N38" s="9" t="s">
        <v>169</v>
      </c>
    </row>
    <row r="39" spans="1:14" ht="16.5" x14ac:dyDescent="0.2">
      <c r="A39" s="3" t="s">
        <v>90</v>
      </c>
      <c r="B39" s="3">
        <v>36</v>
      </c>
      <c r="C39" s="3" t="str">
        <f t="shared" si="0"/>
        <v>device_gjmbfnld</v>
      </c>
      <c r="D39" s="3" t="str">
        <f t="shared" si="1"/>
        <v>葛记焖饼伏牛路店の油烟设备</v>
      </c>
      <c r="E39" s="4" t="s">
        <v>178</v>
      </c>
      <c r="F39" s="3" t="str">
        <f t="shared" si="2"/>
        <v>葛记焖饼伏牛路店の油烟设备</v>
      </c>
      <c r="G39" s="4" t="s">
        <v>191</v>
      </c>
      <c r="H39" s="4"/>
      <c r="I39" s="4"/>
      <c r="J39" s="4"/>
      <c r="M39" s="8" t="s">
        <v>127</v>
      </c>
      <c r="N39" s="9" t="s">
        <v>170</v>
      </c>
    </row>
    <row r="40" spans="1:14" ht="16.5" x14ac:dyDescent="0.2">
      <c r="A40" s="3" t="s">
        <v>90</v>
      </c>
      <c r="B40" s="3">
        <v>37</v>
      </c>
      <c r="C40" s="3" t="str">
        <f t="shared" si="0"/>
        <v>device_awmslhld</v>
      </c>
      <c r="D40" s="3" t="str">
        <f t="shared" si="1"/>
        <v>阿五美食陇海路店の油烟设备</v>
      </c>
      <c r="E40" s="4" t="s">
        <v>178</v>
      </c>
      <c r="F40" s="3" t="str">
        <f t="shared" si="2"/>
        <v>阿五美食陇海路店の油烟设备</v>
      </c>
      <c r="G40" s="4" t="s">
        <v>182</v>
      </c>
      <c r="H40" s="4"/>
      <c r="I40" s="4"/>
      <c r="J40" s="4"/>
      <c r="M40" s="8" t="s">
        <v>128</v>
      </c>
      <c r="N40" s="9" t="s">
        <v>171</v>
      </c>
    </row>
    <row r="41" spans="1:14" ht="16.5" x14ac:dyDescent="0.2">
      <c r="A41" s="3" t="s">
        <v>90</v>
      </c>
      <c r="B41" s="3">
        <v>38</v>
      </c>
      <c r="C41" s="3" t="str">
        <f t="shared" si="0"/>
        <v>device_zxjd</v>
      </c>
      <c r="D41" s="3" t="str">
        <f t="shared" si="1"/>
        <v>中心酒店の油烟设备</v>
      </c>
      <c r="E41" s="4" t="s">
        <v>178</v>
      </c>
      <c r="F41" s="3" t="str">
        <f t="shared" si="2"/>
        <v>中心酒店の油烟设备</v>
      </c>
      <c r="G41" s="4" t="s">
        <v>190</v>
      </c>
      <c r="H41" s="4"/>
      <c r="I41" s="4"/>
      <c r="J41" s="4"/>
      <c r="M41" s="8" t="s">
        <v>129</v>
      </c>
      <c r="N41" s="9" t="s">
        <v>172</v>
      </c>
    </row>
    <row r="42" spans="1:14" ht="16.5" x14ac:dyDescent="0.2">
      <c r="A42" s="3" t="s">
        <v>90</v>
      </c>
      <c r="B42" s="3">
        <v>39</v>
      </c>
      <c r="C42" s="3" t="str">
        <f t="shared" si="0"/>
        <v>device_dkdjd</v>
      </c>
      <c r="D42" s="3" t="str">
        <f t="shared" si="1"/>
        <v>杜康大酒店の油烟设备</v>
      </c>
      <c r="E42" s="4" t="s">
        <v>178</v>
      </c>
      <c r="F42" s="3" t="str">
        <f t="shared" si="2"/>
        <v>杜康大酒店の油烟设备</v>
      </c>
      <c r="G42" s="4" t="s">
        <v>194</v>
      </c>
      <c r="H42" s="4"/>
      <c r="I42" s="4"/>
      <c r="J42" s="4"/>
      <c r="M42" s="8" t="s">
        <v>130</v>
      </c>
      <c r="N42" s="9" t="s">
        <v>173</v>
      </c>
    </row>
    <row r="43" spans="1:14" ht="16.5" x14ac:dyDescent="0.2">
      <c r="A43" s="3" t="s">
        <v>90</v>
      </c>
      <c r="B43" s="3">
        <v>40</v>
      </c>
      <c r="C43" s="3" t="str">
        <f t="shared" si="0"/>
        <v>device_lysf</v>
      </c>
      <c r="D43" s="3" t="str">
        <f t="shared" si="1"/>
        <v>力源食府の油烟设备</v>
      </c>
      <c r="E43" s="4" t="s">
        <v>178</v>
      </c>
      <c r="F43" s="3" t="str">
        <f t="shared" si="2"/>
        <v>力源食府の油烟设备</v>
      </c>
      <c r="G43" s="4" t="s">
        <v>180</v>
      </c>
      <c r="H43" s="4"/>
      <c r="I43" s="4"/>
      <c r="J43" s="4"/>
      <c r="M43" s="8" t="s">
        <v>131</v>
      </c>
      <c r="N43" s="9" t="s">
        <v>174</v>
      </c>
    </row>
    <row r="44" spans="1:14" ht="16.5" x14ac:dyDescent="0.2">
      <c r="A44" s="3" t="s">
        <v>90</v>
      </c>
      <c r="B44" s="3">
        <v>41</v>
      </c>
      <c r="C44" s="3" t="str">
        <f t="shared" si="0"/>
        <v>device_hzxjd</v>
      </c>
      <c r="D44" s="3" t="str">
        <f t="shared" si="1"/>
        <v>花之轩酒店の油烟设备</v>
      </c>
      <c r="E44" s="4" t="s">
        <v>178</v>
      </c>
      <c r="F44" s="3" t="str">
        <f t="shared" si="2"/>
        <v>花之轩酒店の油烟设备</v>
      </c>
      <c r="G44" s="4" t="s">
        <v>190</v>
      </c>
      <c r="H44" s="4"/>
      <c r="I44" s="4"/>
      <c r="J44" s="4"/>
      <c r="M44" s="8" t="s">
        <v>132</v>
      </c>
      <c r="N44" s="9" t="s">
        <v>175</v>
      </c>
    </row>
    <row r="45" spans="1:14" ht="16.5" x14ac:dyDescent="0.2">
      <c r="A45" s="3" t="s">
        <v>90</v>
      </c>
      <c r="B45" s="3">
        <v>42</v>
      </c>
      <c r="C45" s="3" t="str">
        <f t="shared" si="0"/>
        <v>device_djjsy</v>
      </c>
      <c r="D45" s="3" t="str">
        <f t="shared" si="1"/>
        <v>邓记锦上园の油烟设备</v>
      </c>
      <c r="E45" s="4" t="s">
        <v>178</v>
      </c>
      <c r="F45" s="3" t="str">
        <f t="shared" si="2"/>
        <v>邓记锦上园の油烟设备</v>
      </c>
      <c r="G45" s="4" t="s">
        <v>189</v>
      </c>
      <c r="H45" s="4"/>
      <c r="I45" s="4"/>
      <c r="J45" s="4"/>
      <c r="M45" s="8" t="s">
        <v>133</v>
      </c>
      <c r="N45" s="9" t="s">
        <v>176</v>
      </c>
    </row>
    <row r="46" spans="1:14" ht="16.5" x14ac:dyDescent="0.2">
      <c r="A46" s="3" t="s">
        <v>90</v>
      </c>
      <c r="B46" s="3">
        <v>43</v>
      </c>
      <c r="C46" s="3" t="str">
        <f t="shared" si="0"/>
        <v>device_yfyzbhm</v>
      </c>
      <c r="D46" s="3" t="str">
        <f t="shared" si="1"/>
        <v>裕丰源滋补烩面の油烟设备</v>
      </c>
      <c r="E46" s="4" t="s">
        <v>178</v>
      </c>
      <c r="F46" s="3" t="str">
        <f t="shared" si="2"/>
        <v>裕丰源滋补烩面の油烟设备</v>
      </c>
      <c r="G46" s="4" t="s">
        <v>190</v>
      </c>
      <c r="H46" s="4"/>
      <c r="I46" s="4"/>
      <c r="J46" s="4"/>
      <c r="M46" s="8" t="s">
        <v>134</v>
      </c>
      <c r="N46" s="9" t="s">
        <v>177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2E874-8DD3-48E5-A16B-FB00FEBF6B45}">
  <sheetPr codeName="Sheet5"/>
  <dimension ref="A1:N842"/>
  <sheetViews>
    <sheetView tabSelected="1" workbookViewId="0">
      <selection activeCell="I4" sqref="I4"/>
    </sheetView>
  </sheetViews>
  <sheetFormatPr defaultRowHeight="14.25" x14ac:dyDescent="0.2"/>
  <cols>
    <col min="1" max="1" width="15.875" customWidth="1"/>
    <col min="2" max="4" width="11.125" customWidth="1"/>
    <col min="5" max="5" width="42.5" customWidth="1"/>
    <col min="6" max="6" width="63.625" customWidth="1"/>
    <col min="7" max="7" width="29.25" customWidth="1"/>
    <col min="8" max="8" width="77.125" customWidth="1"/>
    <col min="9" max="10" width="23.375" customWidth="1"/>
    <col min="11" max="11" width="17.375" customWidth="1"/>
    <col min="12" max="12" width="19" customWidth="1"/>
  </cols>
  <sheetData>
    <row r="1" spans="1:14" ht="15" x14ac:dyDescent="0.2">
      <c r="A1" s="5" t="s">
        <v>16</v>
      </c>
      <c r="B1" s="5" t="s">
        <v>85</v>
      </c>
      <c r="C1" s="5" t="s">
        <v>402</v>
      </c>
      <c r="D1" s="5" t="s">
        <v>403</v>
      </c>
      <c r="E1" s="5" t="s">
        <v>13</v>
      </c>
      <c r="F1" s="5" t="s">
        <v>8</v>
      </c>
      <c r="G1" s="5" t="s">
        <v>197</v>
      </c>
      <c r="H1" s="5" t="s">
        <v>62</v>
      </c>
      <c r="I1" s="6" t="s">
        <v>395</v>
      </c>
      <c r="J1" s="6" t="s">
        <v>397</v>
      </c>
    </row>
    <row r="2" spans="1:14" x14ac:dyDescent="0.2">
      <c r="A2" t="s">
        <v>9</v>
      </c>
      <c r="B2" t="s">
        <v>86</v>
      </c>
      <c r="C2" t="s">
        <v>401</v>
      </c>
      <c r="D2" t="s">
        <v>401</v>
      </c>
      <c r="E2" t="s">
        <v>9</v>
      </c>
      <c r="F2" t="s">
        <v>9</v>
      </c>
      <c r="G2" t="s">
        <v>9</v>
      </c>
      <c r="H2" t="s">
        <v>63</v>
      </c>
      <c r="I2" t="s">
        <v>396</v>
      </c>
      <c r="J2" t="s">
        <v>396</v>
      </c>
    </row>
    <row r="3" spans="1:14" ht="16.5" x14ac:dyDescent="0.2">
      <c r="A3" s="2" t="s">
        <v>17</v>
      </c>
      <c r="B3" s="2" t="s">
        <v>87</v>
      </c>
      <c r="C3" s="2" t="s">
        <v>404</v>
      </c>
      <c r="D3" s="2" t="s">
        <v>405</v>
      </c>
      <c r="E3" s="2" t="s">
        <v>407</v>
      </c>
      <c r="F3" s="2" t="s">
        <v>11</v>
      </c>
      <c r="G3" s="2" t="s">
        <v>12</v>
      </c>
      <c r="H3" s="2" t="s">
        <v>14</v>
      </c>
      <c r="I3" s="2" t="s">
        <v>398</v>
      </c>
      <c r="J3" s="2" t="s">
        <v>399</v>
      </c>
      <c r="M3" s="12" t="s">
        <v>400</v>
      </c>
      <c r="N3" s="11">
        <f>COUNT([1]机架!$A:A)</f>
        <v>1677</v>
      </c>
    </row>
    <row r="4" spans="1:14" ht="16.5" x14ac:dyDescent="0.2">
      <c r="A4" s="3" t="s">
        <v>393</v>
      </c>
      <c r="B4" s="3">
        <v>1</v>
      </c>
      <c r="C4" s="3">
        <f>MOD(B4-1,INT(($N$3+1)/2))*2+1</f>
        <v>1</v>
      </c>
      <c r="D4" s="3">
        <f>IF(C4&lt;$N$3,MOD(B4-1,INT(($N$3+1)/2))*2+2,"")</f>
        <v>2</v>
      </c>
      <c r="E4" s="3" t="str">
        <f t="shared" ref="E4:E67" si="0">"dump:"&amp;Reverse(I4)&amp;"&amp;"&amp;Reverse(J4)</f>
        <v>dump:1111001073&amp;2111001073</v>
      </c>
      <c r="F4" s="3" t="str">
        <f>"哑资源设备_"&amp;B4</f>
        <v>哑资源设备_1</v>
      </c>
      <c r="G4" s="10" t="s">
        <v>406</v>
      </c>
      <c r="H4" s="3" t="str">
        <f>"检测机架"&amp;INDEX([1]机架!$D:$D,C4+3)&amp;IF(D4&lt;&gt;"","和"&amp;INDEX([1]机架!$D:$D,D4+3),"")&amp;"的数据"</f>
        <v>检测机架济南经十路の机架-1和济南经十路の机架-2的数据</v>
      </c>
      <c r="I4" s="3">
        <f>INDEX([1]机架!$C:$C,C4+3)</f>
        <v>3701001111</v>
      </c>
      <c r="J4" s="3">
        <f>IF(D4&lt;&gt;"",INDEX([1]机架!$C:$C,D4+3),0)</f>
        <v>3701001112</v>
      </c>
    </row>
    <row r="5" spans="1:14" ht="16.5" x14ac:dyDescent="0.2">
      <c r="A5" s="3" t="s">
        <v>393</v>
      </c>
      <c r="B5" s="3">
        <v>2</v>
      </c>
      <c r="C5" s="3">
        <f t="shared" ref="C5:C68" si="1">MOD(B5-1,INT(($N$3+1)/2))*2+1</f>
        <v>3</v>
      </c>
      <c r="D5" s="3">
        <f t="shared" ref="D5:D68" si="2">IF(C5&lt;$N$3,MOD(B5-1,INT(($N$3+1)/2))*2+2,"")</f>
        <v>4</v>
      </c>
      <c r="E5" s="3" t="str">
        <f t="shared" si="0"/>
        <v>dump:3111001073&amp;1211001073</v>
      </c>
      <c r="F5" s="3" t="str">
        <f t="shared" ref="F5:F68" si="3">"哑资源设备_"&amp;B5</f>
        <v>哑资源设备_2</v>
      </c>
      <c r="G5" s="10" t="s">
        <v>406</v>
      </c>
      <c r="H5" s="3" t="str">
        <f>"检测机架"&amp;INDEX([1]机架!$D:$D,C5+3)&amp;IF(D5&lt;&gt;"","和"&amp;INDEX([1]机架!$D:$D,D5+3),"")&amp;"的数据"</f>
        <v>检测机架济南经十路の机架-3和济南经十路の机架-4的数据</v>
      </c>
      <c r="I5" s="3">
        <f>INDEX([1]机架!$C:$C,C5+3)</f>
        <v>3701001113</v>
      </c>
      <c r="J5" s="3">
        <f>IF(D5&lt;&gt;"",INDEX([1]机架!$C:$C,D5+3),0)</f>
        <v>3701001121</v>
      </c>
    </row>
    <row r="6" spans="1:14" ht="16.5" x14ac:dyDescent="0.2">
      <c r="A6" s="3" t="s">
        <v>393</v>
      </c>
      <c r="B6" s="3">
        <v>3</v>
      </c>
      <c r="C6" s="3">
        <f t="shared" si="1"/>
        <v>5</v>
      </c>
      <c r="D6" s="3">
        <f t="shared" si="2"/>
        <v>6</v>
      </c>
      <c r="E6" s="3" t="str">
        <f t="shared" si="0"/>
        <v>dump:2211001073&amp;3211001073</v>
      </c>
      <c r="F6" s="3" t="str">
        <f t="shared" si="3"/>
        <v>哑资源设备_3</v>
      </c>
      <c r="G6" s="10" t="s">
        <v>406</v>
      </c>
      <c r="H6" s="3" t="str">
        <f>"检测机架"&amp;INDEX([1]机架!$D:$D,C6+3)&amp;IF(D6&lt;&gt;"","和"&amp;INDEX([1]机架!$D:$D,D6+3),"")&amp;"的数据"</f>
        <v>检测机架济南经十路の机架-5和济南经十路の机架-6的数据</v>
      </c>
      <c r="I6" s="3">
        <f>INDEX([1]机架!$C:$C,C6+3)</f>
        <v>3701001122</v>
      </c>
      <c r="J6" s="3">
        <f>IF(D6&lt;&gt;"",INDEX([1]机架!$C:$C,D6+3),0)</f>
        <v>3701001123</v>
      </c>
    </row>
    <row r="7" spans="1:14" ht="16.5" x14ac:dyDescent="0.2">
      <c r="A7" s="3" t="s">
        <v>393</v>
      </c>
      <c r="B7" s="3">
        <v>4</v>
      </c>
      <c r="C7" s="3">
        <f t="shared" si="1"/>
        <v>7</v>
      </c>
      <c r="D7" s="3">
        <f t="shared" si="2"/>
        <v>8</v>
      </c>
      <c r="E7" s="3" t="str">
        <f t="shared" si="0"/>
        <v>dump:1311001073&amp;2311001073</v>
      </c>
      <c r="F7" s="3" t="str">
        <f t="shared" si="3"/>
        <v>哑资源设备_4</v>
      </c>
      <c r="G7" s="10" t="s">
        <v>406</v>
      </c>
      <c r="H7" s="3" t="str">
        <f>"检测机架"&amp;INDEX([1]机架!$D:$D,C7+3)&amp;IF(D7&lt;&gt;"","和"&amp;INDEX([1]机架!$D:$D,D7+3),"")&amp;"的数据"</f>
        <v>检测机架济南经十路の机架-7和济南经十路の机架-8的数据</v>
      </c>
      <c r="I7" s="3">
        <f>INDEX([1]机架!$C:$C,C7+3)</f>
        <v>3701001131</v>
      </c>
      <c r="J7" s="3">
        <f>IF(D7&lt;&gt;"",INDEX([1]机架!$C:$C,D7+3),0)</f>
        <v>3701001132</v>
      </c>
    </row>
    <row r="8" spans="1:14" ht="16.5" x14ac:dyDescent="0.2">
      <c r="A8" s="3" t="s">
        <v>393</v>
      </c>
      <c r="B8" s="3">
        <v>5</v>
      </c>
      <c r="C8" s="3">
        <f t="shared" si="1"/>
        <v>9</v>
      </c>
      <c r="D8" s="3">
        <f t="shared" si="2"/>
        <v>10</v>
      </c>
      <c r="E8" s="3" t="str">
        <f t="shared" si="0"/>
        <v>dump:3311001073&amp;1121001073</v>
      </c>
      <c r="F8" s="3" t="str">
        <f t="shared" si="3"/>
        <v>哑资源设备_5</v>
      </c>
      <c r="G8" s="10" t="s">
        <v>406</v>
      </c>
      <c r="H8" s="3" t="str">
        <f>"检测机架"&amp;INDEX([1]机架!$D:$D,C8+3)&amp;IF(D8&lt;&gt;"","和"&amp;INDEX([1]机架!$D:$D,D8+3),"")&amp;"的数据"</f>
        <v>检测机架济南经十路の机架-9和济南经十路の机架-10的数据</v>
      </c>
      <c r="I8" s="3">
        <f>INDEX([1]机架!$C:$C,C8+3)</f>
        <v>3701001133</v>
      </c>
      <c r="J8" s="3">
        <f>IF(D8&lt;&gt;"",INDEX([1]机架!$C:$C,D8+3),0)</f>
        <v>3701001211</v>
      </c>
    </row>
    <row r="9" spans="1:14" ht="16.5" x14ac:dyDescent="0.2">
      <c r="A9" s="3" t="s">
        <v>393</v>
      </c>
      <c r="B9" s="3">
        <v>6</v>
      </c>
      <c r="C9" s="3">
        <f t="shared" si="1"/>
        <v>11</v>
      </c>
      <c r="D9" s="3">
        <f t="shared" si="2"/>
        <v>12</v>
      </c>
      <c r="E9" s="3" t="str">
        <f t="shared" si="0"/>
        <v>dump:2121001073&amp;3121001073</v>
      </c>
      <c r="F9" s="3" t="str">
        <f t="shared" si="3"/>
        <v>哑资源设备_6</v>
      </c>
      <c r="G9" s="10" t="s">
        <v>406</v>
      </c>
      <c r="H9" s="3" t="str">
        <f>"检测机架"&amp;INDEX([1]机架!$D:$D,C9+3)&amp;IF(D9&lt;&gt;"","和"&amp;INDEX([1]机架!$D:$D,D9+3),"")&amp;"的数据"</f>
        <v>检测机架济南经十路の机架-11和济南经十路の机架-12的数据</v>
      </c>
      <c r="I9" s="3">
        <f>INDEX([1]机架!$C:$C,C9+3)</f>
        <v>3701001212</v>
      </c>
      <c r="J9" s="3">
        <f>IF(D9&lt;&gt;"",INDEX([1]机架!$C:$C,D9+3),0)</f>
        <v>3701001213</v>
      </c>
    </row>
    <row r="10" spans="1:14" ht="16.5" x14ac:dyDescent="0.2">
      <c r="A10" s="3" t="s">
        <v>393</v>
      </c>
      <c r="B10" s="3">
        <v>7</v>
      </c>
      <c r="C10" s="3">
        <f t="shared" si="1"/>
        <v>13</v>
      </c>
      <c r="D10" s="3">
        <f t="shared" si="2"/>
        <v>14</v>
      </c>
      <c r="E10" s="3" t="str">
        <f t="shared" si="0"/>
        <v>dump:1221001073&amp;2221001073</v>
      </c>
      <c r="F10" s="3" t="str">
        <f t="shared" si="3"/>
        <v>哑资源设备_7</v>
      </c>
      <c r="G10" s="10" t="s">
        <v>406</v>
      </c>
      <c r="H10" s="3" t="str">
        <f>"检测机架"&amp;INDEX([1]机架!$D:$D,C10+3)&amp;IF(D10&lt;&gt;"","和"&amp;INDEX([1]机架!$D:$D,D10+3),"")&amp;"的数据"</f>
        <v>检测机架济南经十路の机架-13和济南经十路の机架-14的数据</v>
      </c>
      <c r="I10" s="3">
        <f>INDEX([1]机架!$C:$C,C10+3)</f>
        <v>3701001221</v>
      </c>
      <c r="J10" s="3">
        <f>IF(D10&lt;&gt;"",INDEX([1]机架!$C:$C,D10+3),0)</f>
        <v>3701001222</v>
      </c>
    </row>
    <row r="11" spans="1:14" ht="16.5" x14ac:dyDescent="0.2">
      <c r="A11" s="3" t="s">
        <v>393</v>
      </c>
      <c r="B11" s="3">
        <v>8</v>
      </c>
      <c r="C11" s="3">
        <f t="shared" si="1"/>
        <v>15</v>
      </c>
      <c r="D11" s="3">
        <f t="shared" si="2"/>
        <v>16</v>
      </c>
      <c r="E11" s="3" t="str">
        <f t="shared" si="0"/>
        <v>dump:3221001073&amp;1321001073</v>
      </c>
      <c r="F11" s="3" t="str">
        <f t="shared" si="3"/>
        <v>哑资源设备_8</v>
      </c>
      <c r="G11" s="10" t="s">
        <v>406</v>
      </c>
      <c r="H11" s="3" t="str">
        <f>"检测机架"&amp;INDEX([1]机架!$D:$D,C11+3)&amp;IF(D11&lt;&gt;"","和"&amp;INDEX([1]机架!$D:$D,D11+3),"")&amp;"的数据"</f>
        <v>检测机架济南经十路の机架-15和济南经十路の机架-16的数据</v>
      </c>
      <c r="I11" s="3">
        <f>INDEX([1]机架!$C:$C,C11+3)</f>
        <v>3701001223</v>
      </c>
      <c r="J11" s="3">
        <f>IF(D11&lt;&gt;"",INDEX([1]机架!$C:$C,D11+3),0)</f>
        <v>3701001231</v>
      </c>
    </row>
    <row r="12" spans="1:14" ht="16.5" x14ac:dyDescent="0.2">
      <c r="A12" s="3" t="s">
        <v>393</v>
      </c>
      <c r="B12" s="3">
        <v>9</v>
      </c>
      <c r="C12" s="3">
        <f t="shared" si="1"/>
        <v>17</v>
      </c>
      <c r="D12" s="3">
        <f t="shared" si="2"/>
        <v>18</v>
      </c>
      <c r="E12" s="3" t="str">
        <f t="shared" si="0"/>
        <v>dump:2321001073&amp;3321001073</v>
      </c>
      <c r="F12" s="3" t="str">
        <f t="shared" si="3"/>
        <v>哑资源设备_9</v>
      </c>
      <c r="G12" s="10" t="s">
        <v>406</v>
      </c>
      <c r="H12" s="3" t="str">
        <f>"检测机架"&amp;INDEX([1]机架!$D:$D,C12+3)&amp;IF(D12&lt;&gt;"","和"&amp;INDEX([1]机架!$D:$D,D12+3),"")&amp;"的数据"</f>
        <v>检测机架济南经十路の机架-17和济南经十路の机架-18的数据</v>
      </c>
      <c r="I12" s="3">
        <f>INDEX([1]机架!$C:$C,C12+3)</f>
        <v>3701001232</v>
      </c>
      <c r="J12" s="3">
        <f>IF(D12&lt;&gt;"",INDEX([1]机架!$C:$C,D12+3),0)</f>
        <v>3701001233</v>
      </c>
    </row>
    <row r="13" spans="1:14" ht="16.5" x14ac:dyDescent="0.2">
      <c r="A13" s="3" t="s">
        <v>393</v>
      </c>
      <c r="B13" s="3">
        <v>10</v>
      </c>
      <c r="C13" s="3">
        <f t="shared" si="1"/>
        <v>19</v>
      </c>
      <c r="D13" s="3">
        <f t="shared" si="2"/>
        <v>20</v>
      </c>
      <c r="E13" s="3" t="str">
        <f t="shared" si="0"/>
        <v>dump:1131001073&amp;2131001073</v>
      </c>
      <c r="F13" s="3" t="str">
        <f t="shared" si="3"/>
        <v>哑资源设备_10</v>
      </c>
      <c r="G13" s="10" t="s">
        <v>406</v>
      </c>
      <c r="H13" s="3" t="str">
        <f>"检测机架"&amp;INDEX([1]机架!$D:$D,C13+3)&amp;IF(D13&lt;&gt;"","和"&amp;INDEX([1]机架!$D:$D,D13+3),"")&amp;"的数据"</f>
        <v>检测机架济南经十路の机架-19和济南经十路の机架-20的数据</v>
      </c>
      <c r="I13" s="3">
        <f>INDEX([1]机架!$C:$C,C13+3)</f>
        <v>3701001311</v>
      </c>
      <c r="J13" s="3">
        <f>IF(D13&lt;&gt;"",INDEX([1]机架!$C:$C,D13+3),0)</f>
        <v>3701001312</v>
      </c>
    </row>
    <row r="14" spans="1:14" ht="16.5" x14ac:dyDescent="0.2">
      <c r="A14" s="3" t="s">
        <v>393</v>
      </c>
      <c r="B14" s="3">
        <v>11</v>
      </c>
      <c r="C14" s="3">
        <f t="shared" si="1"/>
        <v>21</v>
      </c>
      <c r="D14" s="3">
        <f t="shared" si="2"/>
        <v>22</v>
      </c>
      <c r="E14" s="3" t="str">
        <f t="shared" si="0"/>
        <v>dump:3131001073&amp;1231001073</v>
      </c>
      <c r="F14" s="3" t="str">
        <f t="shared" si="3"/>
        <v>哑资源设备_11</v>
      </c>
      <c r="G14" s="10" t="s">
        <v>406</v>
      </c>
      <c r="H14" s="3" t="str">
        <f>"检测机架"&amp;INDEX([1]机架!$D:$D,C14+3)&amp;IF(D14&lt;&gt;"","和"&amp;INDEX([1]机架!$D:$D,D14+3),"")&amp;"的数据"</f>
        <v>检测机架济南经十路の机架-21和济南经十路の机架-22的数据</v>
      </c>
      <c r="I14" s="3">
        <f>INDEX([1]机架!$C:$C,C14+3)</f>
        <v>3701001313</v>
      </c>
      <c r="J14" s="3">
        <f>IF(D14&lt;&gt;"",INDEX([1]机架!$C:$C,D14+3),0)</f>
        <v>3701001321</v>
      </c>
    </row>
    <row r="15" spans="1:14" ht="16.5" x14ac:dyDescent="0.2">
      <c r="A15" s="3" t="s">
        <v>393</v>
      </c>
      <c r="B15" s="3">
        <v>12</v>
      </c>
      <c r="C15" s="3">
        <f t="shared" si="1"/>
        <v>23</v>
      </c>
      <c r="D15" s="3">
        <f t="shared" si="2"/>
        <v>24</v>
      </c>
      <c r="E15" s="3" t="str">
        <f t="shared" si="0"/>
        <v>dump:2231001073&amp;3231001073</v>
      </c>
      <c r="F15" s="3" t="str">
        <f t="shared" si="3"/>
        <v>哑资源设备_12</v>
      </c>
      <c r="G15" s="10" t="s">
        <v>406</v>
      </c>
      <c r="H15" s="3" t="str">
        <f>"检测机架"&amp;INDEX([1]机架!$D:$D,C15+3)&amp;IF(D15&lt;&gt;"","和"&amp;INDEX([1]机架!$D:$D,D15+3),"")&amp;"的数据"</f>
        <v>检测机架济南经十路の机架-23和济南经十路の机架-24的数据</v>
      </c>
      <c r="I15" s="3">
        <f>INDEX([1]机架!$C:$C,C15+3)</f>
        <v>3701001322</v>
      </c>
      <c r="J15" s="3">
        <f>IF(D15&lt;&gt;"",INDEX([1]机架!$C:$C,D15+3),0)</f>
        <v>3701001323</v>
      </c>
    </row>
    <row r="16" spans="1:14" ht="16.5" x14ac:dyDescent="0.2">
      <c r="A16" s="3" t="s">
        <v>393</v>
      </c>
      <c r="B16" s="3">
        <v>13</v>
      </c>
      <c r="C16" s="3">
        <f t="shared" si="1"/>
        <v>25</v>
      </c>
      <c r="D16" s="3">
        <f t="shared" si="2"/>
        <v>26</v>
      </c>
      <c r="E16" s="3" t="str">
        <f t="shared" si="0"/>
        <v>dump:1112001073&amp;2112001073</v>
      </c>
      <c r="F16" s="3" t="str">
        <f t="shared" si="3"/>
        <v>哑资源设备_13</v>
      </c>
      <c r="G16" s="10" t="s">
        <v>406</v>
      </c>
      <c r="H16" s="3" t="str">
        <f>"检测机架"&amp;INDEX([1]机架!$D:$D,C16+3)&amp;IF(D16&lt;&gt;"","和"&amp;INDEX([1]机架!$D:$D,D16+3),"")&amp;"的数据"</f>
        <v>检测机架济南山大路の机架-1和济南山大路の机架-2的数据</v>
      </c>
      <c r="I16" s="3">
        <f>INDEX([1]机架!$C:$C,C16+3)</f>
        <v>3701002111</v>
      </c>
      <c r="J16" s="3">
        <f>IF(D16&lt;&gt;"",INDEX([1]机架!$C:$C,D16+3),0)</f>
        <v>3701002112</v>
      </c>
    </row>
    <row r="17" spans="1:10" ht="16.5" x14ac:dyDescent="0.2">
      <c r="A17" s="3" t="s">
        <v>393</v>
      </c>
      <c r="B17" s="3">
        <v>14</v>
      </c>
      <c r="C17" s="3">
        <f t="shared" si="1"/>
        <v>27</v>
      </c>
      <c r="D17" s="3">
        <f t="shared" si="2"/>
        <v>28</v>
      </c>
      <c r="E17" s="3" t="str">
        <f t="shared" si="0"/>
        <v>dump:3112001073&amp;1212001073</v>
      </c>
      <c r="F17" s="3" t="str">
        <f t="shared" si="3"/>
        <v>哑资源设备_14</v>
      </c>
      <c r="G17" s="10" t="s">
        <v>406</v>
      </c>
      <c r="H17" s="3" t="str">
        <f>"检测机架"&amp;INDEX([1]机架!$D:$D,C17+3)&amp;IF(D17&lt;&gt;"","和"&amp;INDEX([1]机架!$D:$D,D17+3),"")&amp;"的数据"</f>
        <v>检测机架济南山大路の机架-3和济南山大路の机架-4的数据</v>
      </c>
      <c r="I17" s="3">
        <f>INDEX([1]机架!$C:$C,C17+3)</f>
        <v>3701002113</v>
      </c>
      <c r="J17" s="3">
        <f>IF(D17&lt;&gt;"",INDEX([1]机架!$C:$C,D17+3),0)</f>
        <v>3701002121</v>
      </c>
    </row>
    <row r="18" spans="1:10" ht="16.5" x14ac:dyDescent="0.2">
      <c r="A18" s="3" t="s">
        <v>393</v>
      </c>
      <c r="B18" s="3">
        <v>15</v>
      </c>
      <c r="C18" s="3">
        <f t="shared" si="1"/>
        <v>29</v>
      </c>
      <c r="D18" s="3">
        <f t="shared" si="2"/>
        <v>30</v>
      </c>
      <c r="E18" s="3" t="str">
        <f t="shared" si="0"/>
        <v>dump:2212001073&amp;3212001073</v>
      </c>
      <c r="F18" s="3" t="str">
        <f t="shared" si="3"/>
        <v>哑资源设备_15</v>
      </c>
      <c r="G18" s="10" t="s">
        <v>406</v>
      </c>
      <c r="H18" s="3" t="str">
        <f>"检测机架"&amp;INDEX([1]机架!$D:$D,C18+3)&amp;IF(D18&lt;&gt;"","和"&amp;INDEX([1]机架!$D:$D,D18+3),"")&amp;"的数据"</f>
        <v>检测机架济南山大路の机架-5和济南山大路の机架-6的数据</v>
      </c>
      <c r="I18" s="3">
        <f>INDEX([1]机架!$C:$C,C18+3)</f>
        <v>3701002122</v>
      </c>
      <c r="J18" s="3">
        <f>IF(D18&lt;&gt;"",INDEX([1]机架!$C:$C,D18+3),0)</f>
        <v>3701002123</v>
      </c>
    </row>
    <row r="19" spans="1:10" ht="16.5" x14ac:dyDescent="0.2">
      <c r="A19" s="3" t="s">
        <v>393</v>
      </c>
      <c r="B19" s="3">
        <v>16</v>
      </c>
      <c r="C19" s="3">
        <f t="shared" si="1"/>
        <v>31</v>
      </c>
      <c r="D19" s="3">
        <f t="shared" si="2"/>
        <v>32</v>
      </c>
      <c r="E19" s="3" t="str">
        <f t="shared" si="0"/>
        <v>dump:1312001073&amp;2312001073</v>
      </c>
      <c r="F19" s="3" t="str">
        <f t="shared" si="3"/>
        <v>哑资源设备_16</v>
      </c>
      <c r="G19" s="10" t="s">
        <v>406</v>
      </c>
      <c r="H19" s="3" t="str">
        <f>"检测机架"&amp;INDEX([1]机架!$D:$D,C19+3)&amp;IF(D19&lt;&gt;"","和"&amp;INDEX([1]机架!$D:$D,D19+3),"")&amp;"的数据"</f>
        <v>检测机架济南山大路の机架-7和济南山大路の机架-8的数据</v>
      </c>
      <c r="I19" s="3">
        <f>INDEX([1]机架!$C:$C,C19+3)</f>
        <v>3701002131</v>
      </c>
      <c r="J19" s="3">
        <f>IF(D19&lt;&gt;"",INDEX([1]机架!$C:$C,D19+3),0)</f>
        <v>3701002132</v>
      </c>
    </row>
    <row r="20" spans="1:10" ht="16.5" x14ac:dyDescent="0.2">
      <c r="A20" s="3" t="s">
        <v>393</v>
      </c>
      <c r="B20" s="3">
        <v>17</v>
      </c>
      <c r="C20" s="3">
        <f t="shared" si="1"/>
        <v>33</v>
      </c>
      <c r="D20" s="3">
        <f t="shared" si="2"/>
        <v>34</v>
      </c>
      <c r="E20" s="3" t="str">
        <f t="shared" si="0"/>
        <v>dump:3312001073&amp;1113001073</v>
      </c>
      <c r="F20" s="3" t="str">
        <f t="shared" si="3"/>
        <v>哑资源设备_17</v>
      </c>
      <c r="G20" s="10" t="s">
        <v>406</v>
      </c>
      <c r="H20" s="3" t="str">
        <f>"检测机架"&amp;INDEX([1]机架!$D:$D,C20+3)&amp;IF(D20&lt;&gt;"","和"&amp;INDEX([1]机架!$D:$D,D20+3),"")&amp;"的数据"</f>
        <v>检测机架济南山大路の机架-9和济南四里村の机架-1的数据</v>
      </c>
      <c r="I20" s="3">
        <f>INDEX([1]机架!$C:$C,C20+3)</f>
        <v>3701002133</v>
      </c>
      <c r="J20" s="3">
        <f>IF(D20&lt;&gt;"",INDEX([1]机架!$C:$C,D20+3),0)</f>
        <v>3701003111</v>
      </c>
    </row>
    <row r="21" spans="1:10" ht="16.5" x14ac:dyDescent="0.2">
      <c r="A21" s="3" t="s">
        <v>393</v>
      </c>
      <c r="B21" s="3">
        <v>18</v>
      </c>
      <c r="C21" s="3">
        <f t="shared" si="1"/>
        <v>35</v>
      </c>
      <c r="D21" s="3">
        <f t="shared" si="2"/>
        <v>36</v>
      </c>
      <c r="E21" s="3" t="str">
        <f t="shared" si="0"/>
        <v>dump:2113001073&amp;3113001073</v>
      </c>
      <c r="F21" s="3" t="str">
        <f t="shared" si="3"/>
        <v>哑资源设备_18</v>
      </c>
      <c r="G21" s="10" t="s">
        <v>406</v>
      </c>
      <c r="H21" s="3" t="str">
        <f>"检测机架"&amp;INDEX([1]机架!$D:$D,C21+3)&amp;IF(D21&lt;&gt;"","和"&amp;INDEX([1]机架!$D:$D,D21+3),"")&amp;"的数据"</f>
        <v>检测机架济南四里村の机架-2和济南四里村の机架-3的数据</v>
      </c>
      <c r="I21" s="3">
        <f>INDEX([1]机架!$C:$C,C21+3)</f>
        <v>3701003112</v>
      </c>
      <c r="J21" s="3">
        <f>IF(D21&lt;&gt;"",INDEX([1]机架!$C:$C,D21+3),0)</f>
        <v>3701003113</v>
      </c>
    </row>
    <row r="22" spans="1:10" ht="16.5" x14ac:dyDescent="0.2">
      <c r="A22" s="3" t="s">
        <v>393</v>
      </c>
      <c r="B22" s="3">
        <v>19</v>
      </c>
      <c r="C22" s="3">
        <f t="shared" si="1"/>
        <v>37</v>
      </c>
      <c r="D22" s="3">
        <f t="shared" si="2"/>
        <v>38</v>
      </c>
      <c r="E22" s="3" t="str">
        <f t="shared" si="0"/>
        <v>dump:1213001073&amp;2213001073</v>
      </c>
      <c r="F22" s="3" t="str">
        <f t="shared" si="3"/>
        <v>哑资源设备_19</v>
      </c>
      <c r="G22" s="10" t="s">
        <v>406</v>
      </c>
      <c r="H22" s="3" t="str">
        <f>"检测机架"&amp;INDEX([1]机架!$D:$D,C22+3)&amp;IF(D22&lt;&gt;"","和"&amp;INDEX([1]机架!$D:$D,D22+3),"")&amp;"的数据"</f>
        <v>检测机架济南四里村の机架-4和济南四里村の机架-5的数据</v>
      </c>
      <c r="I22" s="3">
        <f>INDEX([1]机架!$C:$C,C22+3)</f>
        <v>3701003121</v>
      </c>
      <c r="J22" s="3">
        <f>IF(D22&lt;&gt;"",INDEX([1]机架!$C:$C,D22+3),0)</f>
        <v>3701003122</v>
      </c>
    </row>
    <row r="23" spans="1:10" ht="16.5" x14ac:dyDescent="0.2">
      <c r="A23" s="3" t="s">
        <v>393</v>
      </c>
      <c r="B23" s="3">
        <v>20</v>
      </c>
      <c r="C23" s="3">
        <f t="shared" si="1"/>
        <v>39</v>
      </c>
      <c r="D23" s="3">
        <f t="shared" si="2"/>
        <v>40</v>
      </c>
      <c r="E23" s="3" t="str">
        <f t="shared" si="0"/>
        <v>dump:3213001073&amp;1313001073</v>
      </c>
      <c r="F23" s="3" t="str">
        <f t="shared" si="3"/>
        <v>哑资源设备_20</v>
      </c>
      <c r="G23" s="10" t="s">
        <v>406</v>
      </c>
      <c r="H23" s="3" t="str">
        <f>"检测机架"&amp;INDEX([1]机架!$D:$D,C23+3)&amp;IF(D23&lt;&gt;"","和"&amp;INDEX([1]机架!$D:$D,D23+3),"")&amp;"的数据"</f>
        <v>检测机架济南四里村の机架-6和济南四里村の机架-7的数据</v>
      </c>
      <c r="I23" s="3">
        <f>INDEX([1]机架!$C:$C,C23+3)</f>
        <v>3701003123</v>
      </c>
      <c r="J23" s="3">
        <f>IF(D23&lt;&gt;"",INDEX([1]机架!$C:$C,D23+3),0)</f>
        <v>3701003131</v>
      </c>
    </row>
    <row r="24" spans="1:10" ht="16.5" x14ac:dyDescent="0.2">
      <c r="A24" s="3" t="s">
        <v>393</v>
      </c>
      <c r="B24" s="3">
        <v>21</v>
      </c>
      <c r="C24" s="3">
        <f t="shared" si="1"/>
        <v>41</v>
      </c>
      <c r="D24" s="3">
        <f t="shared" si="2"/>
        <v>42</v>
      </c>
      <c r="E24" s="3" t="str">
        <f t="shared" si="0"/>
        <v>dump:2313001073&amp;3313001073</v>
      </c>
      <c r="F24" s="3" t="str">
        <f t="shared" si="3"/>
        <v>哑资源设备_21</v>
      </c>
      <c r="G24" s="10" t="s">
        <v>406</v>
      </c>
      <c r="H24" s="3" t="str">
        <f>"检测机架"&amp;INDEX([1]机架!$D:$D,C24+3)&amp;IF(D24&lt;&gt;"","和"&amp;INDEX([1]机架!$D:$D,D24+3),"")&amp;"的数据"</f>
        <v>检测机架济南四里村の机架-8和济南四里村の机架-9的数据</v>
      </c>
      <c r="I24" s="3">
        <f>INDEX([1]机架!$C:$C,C24+3)</f>
        <v>3701003132</v>
      </c>
      <c r="J24" s="3">
        <f>IF(D24&lt;&gt;"",INDEX([1]机架!$C:$C,D24+3),0)</f>
        <v>3701003133</v>
      </c>
    </row>
    <row r="25" spans="1:10" ht="16.5" x14ac:dyDescent="0.2">
      <c r="A25" s="3" t="s">
        <v>393</v>
      </c>
      <c r="B25" s="3">
        <v>22</v>
      </c>
      <c r="C25" s="3">
        <f t="shared" si="1"/>
        <v>43</v>
      </c>
      <c r="D25" s="3">
        <f t="shared" si="2"/>
        <v>44</v>
      </c>
      <c r="E25" s="3" t="str">
        <f t="shared" si="0"/>
        <v>dump:1114001073&amp;2114001073</v>
      </c>
      <c r="F25" s="3" t="str">
        <f t="shared" si="3"/>
        <v>哑资源设备_22</v>
      </c>
      <c r="G25" s="10" t="s">
        <v>406</v>
      </c>
      <c r="H25" s="3" t="str">
        <f>"检测机架"&amp;INDEX([1]机架!$D:$D,C25+3)&amp;IF(D25&lt;&gt;"","和"&amp;INDEX([1]机架!$D:$D,D25+3),"")&amp;"的数据"</f>
        <v>检测机架济南三枢纽の机架-1和济南三枢纽の机架-2的数据</v>
      </c>
      <c r="I25" s="3">
        <f>INDEX([1]机架!$C:$C,C25+3)</f>
        <v>3701004111</v>
      </c>
      <c r="J25" s="3">
        <f>IF(D25&lt;&gt;"",INDEX([1]机架!$C:$C,D25+3),0)</f>
        <v>3701004112</v>
      </c>
    </row>
    <row r="26" spans="1:10" ht="16.5" x14ac:dyDescent="0.2">
      <c r="A26" s="3" t="s">
        <v>393</v>
      </c>
      <c r="B26" s="3">
        <v>23</v>
      </c>
      <c r="C26" s="3">
        <f t="shared" si="1"/>
        <v>45</v>
      </c>
      <c r="D26" s="3">
        <f t="shared" si="2"/>
        <v>46</v>
      </c>
      <c r="E26" s="3" t="str">
        <f t="shared" si="0"/>
        <v>dump:3114001073&amp;1214001073</v>
      </c>
      <c r="F26" s="3" t="str">
        <f t="shared" si="3"/>
        <v>哑资源设备_23</v>
      </c>
      <c r="G26" s="10" t="s">
        <v>406</v>
      </c>
      <c r="H26" s="3" t="str">
        <f>"检测机架"&amp;INDEX([1]机架!$D:$D,C26+3)&amp;IF(D26&lt;&gt;"","和"&amp;INDEX([1]机架!$D:$D,D26+3),"")&amp;"的数据"</f>
        <v>检测机架济南三枢纽の机架-3和济南三枢纽の机架-4的数据</v>
      </c>
      <c r="I26" s="3">
        <f>INDEX([1]机架!$C:$C,C26+3)</f>
        <v>3701004113</v>
      </c>
      <c r="J26" s="3">
        <f>IF(D26&lt;&gt;"",INDEX([1]机架!$C:$C,D26+3),0)</f>
        <v>3701004121</v>
      </c>
    </row>
    <row r="27" spans="1:10" ht="16.5" x14ac:dyDescent="0.2">
      <c r="A27" s="3" t="s">
        <v>393</v>
      </c>
      <c r="B27" s="3">
        <v>24</v>
      </c>
      <c r="C27" s="3">
        <f t="shared" si="1"/>
        <v>47</v>
      </c>
      <c r="D27" s="3">
        <f t="shared" si="2"/>
        <v>48</v>
      </c>
      <c r="E27" s="3" t="str">
        <f t="shared" si="0"/>
        <v>dump:2214001073&amp;3214001073</v>
      </c>
      <c r="F27" s="3" t="str">
        <f t="shared" si="3"/>
        <v>哑资源设备_24</v>
      </c>
      <c r="G27" s="10" t="s">
        <v>406</v>
      </c>
      <c r="H27" s="3" t="str">
        <f>"检测机架"&amp;INDEX([1]机架!$D:$D,C27+3)&amp;IF(D27&lt;&gt;"","和"&amp;INDEX([1]机架!$D:$D,D27+3),"")&amp;"的数据"</f>
        <v>检测机架济南三枢纽の机架-5和济南三枢纽の机架-6的数据</v>
      </c>
      <c r="I27" s="3">
        <f>INDEX([1]机架!$C:$C,C27+3)</f>
        <v>3701004122</v>
      </c>
      <c r="J27" s="3">
        <f>IF(D27&lt;&gt;"",INDEX([1]机架!$C:$C,D27+3),0)</f>
        <v>3701004123</v>
      </c>
    </row>
    <row r="28" spans="1:10" ht="16.5" x14ac:dyDescent="0.2">
      <c r="A28" s="3" t="s">
        <v>393</v>
      </c>
      <c r="B28" s="3">
        <v>25</v>
      </c>
      <c r="C28" s="3">
        <f t="shared" si="1"/>
        <v>49</v>
      </c>
      <c r="D28" s="3">
        <f t="shared" si="2"/>
        <v>50</v>
      </c>
      <c r="E28" s="3" t="str">
        <f t="shared" si="0"/>
        <v>dump:1314001073&amp;2314001073</v>
      </c>
      <c r="F28" s="3" t="str">
        <f t="shared" si="3"/>
        <v>哑资源设备_25</v>
      </c>
      <c r="G28" s="10" t="s">
        <v>406</v>
      </c>
      <c r="H28" s="3" t="str">
        <f>"检测机架"&amp;INDEX([1]机架!$D:$D,C28+3)&amp;IF(D28&lt;&gt;"","和"&amp;INDEX([1]机架!$D:$D,D28+3),"")&amp;"的数据"</f>
        <v>检测机架济南三枢纽の机架-7和济南三枢纽の机架-8的数据</v>
      </c>
      <c r="I28" s="3">
        <f>INDEX([1]机架!$C:$C,C28+3)</f>
        <v>3701004131</v>
      </c>
      <c r="J28" s="3">
        <f>IF(D28&lt;&gt;"",INDEX([1]机架!$C:$C,D28+3),0)</f>
        <v>3701004132</v>
      </c>
    </row>
    <row r="29" spans="1:10" ht="16.5" x14ac:dyDescent="0.2">
      <c r="A29" s="3" t="s">
        <v>393</v>
      </c>
      <c r="B29" s="3">
        <v>26</v>
      </c>
      <c r="C29" s="3">
        <f t="shared" si="1"/>
        <v>51</v>
      </c>
      <c r="D29" s="3">
        <f t="shared" si="2"/>
        <v>52</v>
      </c>
      <c r="E29" s="3" t="str">
        <f t="shared" si="0"/>
        <v>dump:3314001073&amp;1115001073</v>
      </c>
      <c r="F29" s="3" t="str">
        <f t="shared" si="3"/>
        <v>哑资源设备_26</v>
      </c>
      <c r="G29" s="10" t="s">
        <v>406</v>
      </c>
      <c r="H29" s="3" t="str">
        <f>"检测机架"&amp;INDEX([1]机架!$D:$D,C29+3)&amp;IF(D29&lt;&gt;"","和"&amp;INDEX([1]机架!$D:$D,D29+3),"")&amp;"的数据"</f>
        <v>检测机架济南三枢纽の机架-9和济南共青团の机架-1的数据</v>
      </c>
      <c r="I29" s="3">
        <f>INDEX([1]机架!$C:$C,C29+3)</f>
        <v>3701004133</v>
      </c>
      <c r="J29" s="3">
        <f>IF(D29&lt;&gt;"",INDEX([1]机架!$C:$C,D29+3),0)</f>
        <v>3701005111</v>
      </c>
    </row>
    <row r="30" spans="1:10" ht="16.5" x14ac:dyDescent="0.2">
      <c r="A30" s="3" t="s">
        <v>393</v>
      </c>
      <c r="B30" s="3">
        <v>27</v>
      </c>
      <c r="C30" s="3">
        <f t="shared" si="1"/>
        <v>53</v>
      </c>
      <c r="D30" s="3">
        <f t="shared" si="2"/>
        <v>54</v>
      </c>
      <c r="E30" s="3" t="str">
        <f t="shared" si="0"/>
        <v>dump:2115001073&amp;3115001073</v>
      </c>
      <c r="F30" s="3" t="str">
        <f t="shared" si="3"/>
        <v>哑资源设备_27</v>
      </c>
      <c r="G30" s="10" t="s">
        <v>406</v>
      </c>
      <c r="H30" s="3" t="str">
        <f>"检测机架"&amp;INDEX([1]机架!$D:$D,C30+3)&amp;IF(D30&lt;&gt;"","和"&amp;INDEX([1]机架!$D:$D,D30+3),"")&amp;"的数据"</f>
        <v>检测机架济南共青团の机架-2和济南共青团の机架-3的数据</v>
      </c>
      <c r="I30" s="3">
        <f>INDEX([1]机架!$C:$C,C30+3)</f>
        <v>3701005112</v>
      </c>
      <c r="J30" s="3">
        <f>IF(D30&lt;&gt;"",INDEX([1]机架!$C:$C,D30+3),0)</f>
        <v>3701005113</v>
      </c>
    </row>
    <row r="31" spans="1:10" ht="16.5" x14ac:dyDescent="0.2">
      <c r="A31" s="3" t="s">
        <v>393</v>
      </c>
      <c r="B31" s="3">
        <v>28</v>
      </c>
      <c r="C31" s="3">
        <f t="shared" si="1"/>
        <v>55</v>
      </c>
      <c r="D31" s="3">
        <f t="shared" si="2"/>
        <v>56</v>
      </c>
      <c r="E31" s="3" t="str">
        <f t="shared" si="0"/>
        <v>dump:1215001073&amp;2215001073</v>
      </c>
      <c r="F31" s="3" t="str">
        <f t="shared" si="3"/>
        <v>哑资源设备_28</v>
      </c>
      <c r="G31" s="10" t="s">
        <v>406</v>
      </c>
      <c r="H31" s="3" t="str">
        <f>"检测机架"&amp;INDEX([1]机架!$D:$D,C31+3)&amp;IF(D31&lt;&gt;"","和"&amp;INDEX([1]机架!$D:$D,D31+3),"")&amp;"的数据"</f>
        <v>检测机架济南共青团の机架-4和济南共青团の机架-5的数据</v>
      </c>
      <c r="I31" s="3">
        <f>INDEX([1]机架!$C:$C,C31+3)</f>
        <v>3701005121</v>
      </c>
      <c r="J31" s="3">
        <f>IF(D31&lt;&gt;"",INDEX([1]机架!$C:$C,D31+3),0)</f>
        <v>3701005122</v>
      </c>
    </row>
    <row r="32" spans="1:10" ht="16.5" x14ac:dyDescent="0.2">
      <c r="A32" s="3" t="s">
        <v>393</v>
      </c>
      <c r="B32" s="3">
        <v>29</v>
      </c>
      <c r="C32" s="3">
        <f t="shared" si="1"/>
        <v>57</v>
      </c>
      <c r="D32" s="3">
        <f t="shared" si="2"/>
        <v>58</v>
      </c>
      <c r="E32" s="3" t="str">
        <f t="shared" si="0"/>
        <v>dump:3215001073&amp;1315001073</v>
      </c>
      <c r="F32" s="3" t="str">
        <f t="shared" si="3"/>
        <v>哑资源设备_29</v>
      </c>
      <c r="G32" s="10" t="s">
        <v>406</v>
      </c>
      <c r="H32" s="3" t="str">
        <f>"检测机架"&amp;INDEX([1]机架!$D:$D,C32+3)&amp;IF(D32&lt;&gt;"","和"&amp;INDEX([1]机架!$D:$D,D32+3),"")&amp;"的数据"</f>
        <v>检测机架济南共青团の机架-6和济南共青团の机架-7的数据</v>
      </c>
      <c r="I32" s="3">
        <f>INDEX([1]机架!$C:$C,C32+3)</f>
        <v>3701005123</v>
      </c>
      <c r="J32" s="3">
        <f>IF(D32&lt;&gt;"",INDEX([1]机架!$C:$C,D32+3),0)</f>
        <v>3701005131</v>
      </c>
    </row>
    <row r="33" spans="1:10" ht="16.5" x14ac:dyDescent="0.2">
      <c r="A33" s="3" t="s">
        <v>393</v>
      </c>
      <c r="B33" s="3">
        <v>30</v>
      </c>
      <c r="C33" s="3">
        <f t="shared" si="1"/>
        <v>59</v>
      </c>
      <c r="D33" s="3">
        <f t="shared" si="2"/>
        <v>60</v>
      </c>
      <c r="E33" s="3" t="str">
        <f t="shared" si="0"/>
        <v>dump:2315001073&amp;3315001073</v>
      </c>
      <c r="F33" s="3" t="str">
        <f t="shared" si="3"/>
        <v>哑资源设备_30</v>
      </c>
      <c r="G33" s="10" t="s">
        <v>406</v>
      </c>
      <c r="H33" s="3" t="str">
        <f>"检测机架"&amp;INDEX([1]机架!$D:$D,C33+3)&amp;IF(D33&lt;&gt;"","和"&amp;INDEX([1]机架!$D:$D,D33+3),"")&amp;"的数据"</f>
        <v>检测机架济南共青团の机架-8和济南共青团の机架-9的数据</v>
      </c>
      <c r="I33" s="3">
        <f>INDEX([1]机架!$C:$C,C33+3)</f>
        <v>3701005132</v>
      </c>
      <c r="J33" s="3">
        <f>IF(D33&lt;&gt;"",INDEX([1]机架!$C:$C,D33+3),0)</f>
        <v>3701005133</v>
      </c>
    </row>
    <row r="34" spans="1:10" ht="16.5" x14ac:dyDescent="0.2">
      <c r="A34" s="3" t="s">
        <v>393</v>
      </c>
      <c r="B34" s="3">
        <v>31</v>
      </c>
      <c r="C34" s="3">
        <f t="shared" si="1"/>
        <v>61</v>
      </c>
      <c r="D34" s="3">
        <f t="shared" si="2"/>
        <v>62</v>
      </c>
      <c r="E34" s="3" t="str">
        <f t="shared" si="0"/>
        <v>dump:1116001073&amp;2116001073</v>
      </c>
      <c r="F34" s="3" t="str">
        <f t="shared" si="3"/>
        <v>哑资源设备_31</v>
      </c>
      <c r="G34" s="10" t="s">
        <v>406</v>
      </c>
      <c r="H34" s="3" t="str">
        <f>"检测机架"&amp;INDEX([1]机架!$D:$D,C34+3)&amp;IF(D34&lt;&gt;"","和"&amp;INDEX([1]机架!$D:$D,D34+3),"")&amp;"的数据"</f>
        <v>检测机架济南唐王の机架-1和济南唐王の机架-2的数据</v>
      </c>
      <c r="I34" s="3">
        <f>INDEX([1]机架!$C:$C,C34+3)</f>
        <v>3701006111</v>
      </c>
      <c r="J34" s="3">
        <f>IF(D34&lt;&gt;"",INDEX([1]机架!$C:$C,D34+3),0)</f>
        <v>3701006112</v>
      </c>
    </row>
    <row r="35" spans="1:10" ht="16.5" x14ac:dyDescent="0.2">
      <c r="A35" s="3" t="s">
        <v>393</v>
      </c>
      <c r="B35" s="3">
        <v>32</v>
      </c>
      <c r="C35" s="3">
        <f t="shared" si="1"/>
        <v>63</v>
      </c>
      <c r="D35" s="3">
        <f t="shared" si="2"/>
        <v>64</v>
      </c>
      <c r="E35" s="3" t="str">
        <f t="shared" si="0"/>
        <v>dump:3116001073&amp;1216001073</v>
      </c>
      <c r="F35" s="3" t="str">
        <f t="shared" si="3"/>
        <v>哑资源设备_32</v>
      </c>
      <c r="G35" s="10" t="s">
        <v>406</v>
      </c>
      <c r="H35" s="3" t="str">
        <f>"检测机架"&amp;INDEX([1]机架!$D:$D,C35+3)&amp;IF(D35&lt;&gt;"","和"&amp;INDEX([1]机架!$D:$D,D35+3),"")&amp;"的数据"</f>
        <v>检测机架济南唐王の机架-3和济南唐王の机架-4的数据</v>
      </c>
      <c r="I35" s="3">
        <f>INDEX([1]机架!$C:$C,C35+3)</f>
        <v>3701006113</v>
      </c>
      <c r="J35" s="3">
        <f>IF(D35&lt;&gt;"",INDEX([1]机架!$C:$C,D35+3),0)</f>
        <v>3701006121</v>
      </c>
    </row>
    <row r="36" spans="1:10" ht="16.5" x14ac:dyDescent="0.2">
      <c r="A36" s="3" t="s">
        <v>393</v>
      </c>
      <c r="B36" s="3">
        <v>33</v>
      </c>
      <c r="C36" s="3">
        <f t="shared" si="1"/>
        <v>65</v>
      </c>
      <c r="D36" s="3">
        <f t="shared" si="2"/>
        <v>66</v>
      </c>
      <c r="E36" s="3" t="str">
        <f t="shared" si="0"/>
        <v>dump:2216001073&amp;3216001073</v>
      </c>
      <c r="F36" s="3" t="str">
        <f t="shared" si="3"/>
        <v>哑资源设备_33</v>
      </c>
      <c r="G36" s="10" t="s">
        <v>406</v>
      </c>
      <c r="H36" s="3" t="str">
        <f>"检测机架"&amp;INDEX([1]机架!$D:$D,C36+3)&amp;IF(D36&lt;&gt;"","和"&amp;INDEX([1]机架!$D:$D,D36+3),"")&amp;"的数据"</f>
        <v>检测机架济南唐王の机架-5和济南唐王の机架-6的数据</v>
      </c>
      <c r="I36" s="3">
        <f>INDEX([1]机架!$C:$C,C36+3)</f>
        <v>3701006122</v>
      </c>
      <c r="J36" s="3">
        <f>IF(D36&lt;&gt;"",INDEX([1]机架!$C:$C,D36+3),0)</f>
        <v>3701006123</v>
      </c>
    </row>
    <row r="37" spans="1:10" ht="16.5" x14ac:dyDescent="0.2">
      <c r="A37" s="3" t="s">
        <v>393</v>
      </c>
      <c r="B37" s="3">
        <v>34</v>
      </c>
      <c r="C37" s="3">
        <f t="shared" si="1"/>
        <v>67</v>
      </c>
      <c r="D37" s="3">
        <f t="shared" si="2"/>
        <v>68</v>
      </c>
      <c r="E37" s="3" t="str">
        <f t="shared" si="0"/>
        <v>dump:1316001073&amp;2316001073</v>
      </c>
      <c r="F37" s="3" t="str">
        <f t="shared" si="3"/>
        <v>哑资源设备_34</v>
      </c>
      <c r="G37" s="10" t="s">
        <v>406</v>
      </c>
      <c r="H37" s="3" t="str">
        <f>"检测机架"&amp;INDEX([1]机架!$D:$D,C37+3)&amp;IF(D37&lt;&gt;"","和"&amp;INDEX([1]机架!$D:$D,D37+3),"")&amp;"的数据"</f>
        <v>检测机架济南唐王の机架-7和济南唐王の机架-8的数据</v>
      </c>
      <c r="I37" s="3">
        <f>INDEX([1]机架!$C:$C,C37+3)</f>
        <v>3701006131</v>
      </c>
      <c r="J37" s="3">
        <f>IF(D37&lt;&gt;"",INDEX([1]机架!$C:$C,D37+3),0)</f>
        <v>3701006132</v>
      </c>
    </row>
    <row r="38" spans="1:10" ht="16.5" x14ac:dyDescent="0.2">
      <c r="A38" s="3" t="s">
        <v>393</v>
      </c>
      <c r="B38" s="3">
        <v>35</v>
      </c>
      <c r="C38" s="3">
        <f t="shared" si="1"/>
        <v>69</v>
      </c>
      <c r="D38" s="3">
        <f t="shared" si="2"/>
        <v>70</v>
      </c>
      <c r="E38" s="3" t="str">
        <f t="shared" si="0"/>
        <v>dump:3316001073&amp;1117001073</v>
      </c>
      <c r="F38" s="3" t="str">
        <f t="shared" si="3"/>
        <v>哑资源设备_35</v>
      </c>
      <c r="G38" s="10" t="s">
        <v>406</v>
      </c>
      <c r="H38" s="3" t="str">
        <f>"检测机架"&amp;INDEX([1]机架!$D:$D,C38+3)&amp;IF(D38&lt;&gt;"","和"&amp;INDEX([1]机架!$D:$D,D38+3),"")&amp;"的数据"</f>
        <v>检测机架济南唐王の机架-9和长清通信楼の机架-1的数据</v>
      </c>
      <c r="I38" s="3">
        <f>INDEX([1]机架!$C:$C,C38+3)</f>
        <v>3701006133</v>
      </c>
      <c r="J38" s="3">
        <f>IF(D38&lt;&gt;"",INDEX([1]机架!$C:$C,D38+3),0)</f>
        <v>3701007111</v>
      </c>
    </row>
    <row r="39" spans="1:10" ht="16.5" x14ac:dyDescent="0.2">
      <c r="A39" s="3" t="s">
        <v>393</v>
      </c>
      <c r="B39" s="3">
        <v>36</v>
      </c>
      <c r="C39" s="3">
        <f t="shared" si="1"/>
        <v>71</v>
      </c>
      <c r="D39" s="3">
        <f t="shared" si="2"/>
        <v>72</v>
      </c>
      <c r="E39" s="3" t="str">
        <f t="shared" si="0"/>
        <v>dump:2117001073&amp;3117001073</v>
      </c>
      <c r="F39" s="3" t="str">
        <f t="shared" si="3"/>
        <v>哑资源设备_36</v>
      </c>
      <c r="G39" s="10" t="s">
        <v>406</v>
      </c>
      <c r="H39" s="3" t="str">
        <f>"检测机架"&amp;INDEX([1]机架!$D:$D,C39+3)&amp;IF(D39&lt;&gt;"","和"&amp;INDEX([1]机架!$D:$D,D39+3),"")&amp;"的数据"</f>
        <v>检测机架长清通信楼の机架-2和长清通信楼の机架-3的数据</v>
      </c>
      <c r="I39" s="3">
        <f>INDEX([1]机架!$C:$C,C39+3)</f>
        <v>3701007112</v>
      </c>
      <c r="J39" s="3">
        <f>IF(D39&lt;&gt;"",INDEX([1]机架!$C:$C,D39+3),0)</f>
        <v>3701007113</v>
      </c>
    </row>
    <row r="40" spans="1:10" ht="16.5" x14ac:dyDescent="0.2">
      <c r="A40" s="3" t="s">
        <v>393</v>
      </c>
      <c r="B40" s="3">
        <v>37</v>
      </c>
      <c r="C40" s="3">
        <f t="shared" si="1"/>
        <v>73</v>
      </c>
      <c r="D40" s="3">
        <f t="shared" si="2"/>
        <v>74</v>
      </c>
      <c r="E40" s="3" t="str">
        <f t="shared" si="0"/>
        <v>dump:1217001073&amp;2217001073</v>
      </c>
      <c r="F40" s="3" t="str">
        <f t="shared" si="3"/>
        <v>哑资源设备_37</v>
      </c>
      <c r="G40" s="10" t="s">
        <v>406</v>
      </c>
      <c r="H40" s="3" t="str">
        <f>"检测机架"&amp;INDEX([1]机架!$D:$D,C40+3)&amp;IF(D40&lt;&gt;"","和"&amp;INDEX([1]机架!$D:$D,D40+3),"")&amp;"的数据"</f>
        <v>检测机架长清通信楼の机架-4和长清通信楼の机架-5的数据</v>
      </c>
      <c r="I40" s="3">
        <f>INDEX([1]机架!$C:$C,C40+3)</f>
        <v>3701007121</v>
      </c>
      <c r="J40" s="3">
        <f>IF(D40&lt;&gt;"",INDEX([1]机架!$C:$C,D40+3),0)</f>
        <v>3701007122</v>
      </c>
    </row>
    <row r="41" spans="1:10" ht="16.5" x14ac:dyDescent="0.2">
      <c r="A41" s="3" t="s">
        <v>393</v>
      </c>
      <c r="B41" s="3">
        <v>38</v>
      </c>
      <c r="C41" s="3">
        <f t="shared" si="1"/>
        <v>75</v>
      </c>
      <c r="D41" s="3">
        <f t="shared" si="2"/>
        <v>76</v>
      </c>
      <c r="E41" s="3" t="str">
        <f t="shared" si="0"/>
        <v>dump:3217001073&amp;1317001073</v>
      </c>
      <c r="F41" s="3" t="str">
        <f t="shared" si="3"/>
        <v>哑资源设备_38</v>
      </c>
      <c r="G41" s="10" t="s">
        <v>406</v>
      </c>
      <c r="H41" s="3" t="str">
        <f>"检测机架"&amp;INDEX([1]机架!$D:$D,C41+3)&amp;IF(D41&lt;&gt;"","和"&amp;INDEX([1]机架!$D:$D,D41+3),"")&amp;"的数据"</f>
        <v>检测机架长清通信楼の机架-6和长清通信楼の机架-7的数据</v>
      </c>
      <c r="I41" s="3">
        <f>INDEX([1]机架!$C:$C,C41+3)</f>
        <v>3701007123</v>
      </c>
      <c r="J41" s="3">
        <f>IF(D41&lt;&gt;"",INDEX([1]机架!$C:$C,D41+3),0)</f>
        <v>3701007131</v>
      </c>
    </row>
    <row r="42" spans="1:10" ht="16.5" x14ac:dyDescent="0.2">
      <c r="A42" s="3" t="s">
        <v>393</v>
      </c>
      <c r="B42" s="3">
        <v>39</v>
      </c>
      <c r="C42" s="3">
        <f t="shared" si="1"/>
        <v>77</v>
      </c>
      <c r="D42" s="3">
        <f t="shared" si="2"/>
        <v>78</v>
      </c>
      <c r="E42" s="3" t="str">
        <f t="shared" si="0"/>
        <v>dump:2317001073&amp;3317001073</v>
      </c>
      <c r="F42" s="3" t="str">
        <f t="shared" si="3"/>
        <v>哑资源设备_39</v>
      </c>
      <c r="G42" s="10" t="s">
        <v>406</v>
      </c>
      <c r="H42" s="3" t="str">
        <f>"检测机架"&amp;INDEX([1]机架!$D:$D,C42+3)&amp;IF(D42&lt;&gt;"","和"&amp;INDEX([1]机架!$D:$D,D42+3),"")&amp;"的数据"</f>
        <v>检测机架长清通信楼の机架-8和长清通信楼の机架-9的数据</v>
      </c>
      <c r="I42" s="3">
        <f>INDEX([1]机架!$C:$C,C42+3)</f>
        <v>3701007132</v>
      </c>
      <c r="J42" s="3">
        <f>IF(D42&lt;&gt;"",INDEX([1]机架!$C:$C,D42+3),0)</f>
        <v>3701007133</v>
      </c>
    </row>
    <row r="43" spans="1:10" ht="16.5" x14ac:dyDescent="0.2">
      <c r="A43" s="3" t="s">
        <v>393</v>
      </c>
      <c r="B43" s="3">
        <v>40</v>
      </c>
      <c r="C43" s="3">
        <f t="shared" si="1"/>
        <v>79</v>
      </c>
      <c r="D43" s="3">
        <f t="shared" si="2"/>
        <v>80</v>
      </c>
      <c r="E43" s="3" t="str">
        <f t="shared" si="0"/>
        <v>dump:1118001073&amp;2118001073</v>
      </c>
      <c r="F43" s="3" t="str">
        <f t="shared" si="3"/>
        <v>哑资源设备_40</v>
      </c>
      <c r="G43" s="10" t="s">
        <v>406</v>
      </c>
      <c r="H43" s="3" t="str">
        <f>"检测机架"&amp;INDEX([1]机架!$D:$D,C43+3)&amp;IF(D43&lt;&gt;"","和"&amp;INDEX([1]机架!$D:$D,D43+3),"")&amp;"的数据"</f>
        <v>检测机架长清万德の机架-1和长清万德の机架-2的数据</v>
      </c>
      <c r="I43" s="3">
        <f>INDEX([1]机架!$C:$C,C43+3)</f>
        <v>3701008111</v>
      </c>
      <c r="J43" s="3">
        <f>IF(D43&lt;&gt;"",INDEX([1]机架!$C:$C,D43+3),0)</f>
        <v>3701008112</v>
      </c>
    </row>
    <row r="44" spans="1:10" ht="16.5" x14ac:dyDescent="0.2">
      <c r="A44" s="3" t="s">
        <v>393</v>
      </c>
      <c r="B44" s="3">
        <v>41</v>
      </c>
      <c r="C44" s="3">
        <f t="shared" si="1"/>
        <v>81</v>
      </c>
      <c r="D44" s="3">
        <f t="shared" si="2"/>
        <v>82</v>
      </c>
      <c r="E44" s="3" t="str">
        <f t="shared" si="0"/>
        <v>dump:3118001073&amp;1218001073</v>
      </c>
      <c r="F44" s="3" t="str">
        <f t="shared" si="3"/>
        <v>哑资源设备_41</v>
      </c>
      <c r="G44" s="10" t="s">
        <v>406</v>
      </c>
      <c r="H44" s="3" t="str">
        <f>"检测机架"&amp;INDEX([1]机架!$D:$D,C44+3)&amp;IF(D44&lt;&gt;"","和"&amp;INDEX([1]机架!$D:$D,D44+3),"")&amp;"的数据"</f>
        <v>检测机架长清万德の机架-3和长清万德の机架-4的数据</v>
      </c>
      <c r="I44" s="3">
        <f>INDEX([1]机架!$C:$C,C44+3)</f>
        <v>3701008113</v>
      </c>
      <c r="J44" s="3">
        <f>IF(D44&lt;&gt;"",INDEX([1]机架!$C:$C,D44+3),0)</f>
        <v>3701008121</v>
      </c>
    </row>
    <row r="45" spans="1:10" ht="16.5" x14ac:dyDescent="0.2">
      <c r="A45" s="3" t="s">
        <v>393</v>
      </c>
      <c r="B45" s="3">
        <v>42</v>
      </c>
      <c r="C45" s="3">
        <f t="shared" si="1"/>
        <v>83</v>
      </c>
      <c r="D45" s="3">
        <f t="shared" si="2"/>
        <v>84</v>
      </c>
      <c r="E45" s="3" t="str">
        <f t="shared" si="0"/>
        <v>dump:2218001073&amp;3218001073</v>
      </c>
      <c r="F45" s="3" t="str">
        <f t="shared" si="3"/>
        <v>哑资源设备_42</v>
      </c>
      <c r="G45" s="10" t="s">
        <v>406</v>
      </c>
      <c r="H45" s="3" t="str">
        <f>"检测机架"&amp;INDEX([1]机架!$D:$D,C45+3)&amp;IF(D45&lt;&gt;"","和"&amp;INDEX([1]机架!$D:$D,D45+3),"")&amp;"的数据"</f>
        <v>检测机架长清万德の机架-5和长清万德の机架-6的数据</v>
      </c>
      <c r="I45" s="3">
        <f>INDEX([1]机架!$C:$C,C45+3)</f>
        <v>3701008122</v>
      </c>
      <c r="J45" s="3">
        <f>IF(D45&lt;&gt;"",INDEX([1]机架!$C:$C,D45+3),0)</f>
        <v>3701008123</v>
      </c>
    </row>
    <row r="46" spans="1:10" ht="16.5" x14ac:dyDescent="0.2">
      <c r="A46" s="3" t="s">
        <v>393</v>
      </c>
      <c r="B46" s="3">
        <v>43</v>
      </c>
      <c r="C46" s="3">
        <f t="shared" si="1"/>
        <v>85</v>
      </c>
      <c r="D46" s="3">
        <f t="shared" si="2"/>
        <v>86</v>
      </c>
      <c r="E46" s="3" t="str">
        <f t="shared" si="0"/>
        <v>dump:1318001073&amp;2318001073</v>
      </c>
      <c r="F46" s="3" t="str">
        <f t="shared" si="3"/>
        <v>哑资源设备_43</v>
      </c>
      <c r="G46" s="10" t="s">
        <v>406</v>
      </c>
      <c r="H46" s="3" t="str">
        <f>"检测机架"&amp;INDEX([1]机架!$D:$D,C46+3)&amp;IF(D46&lt;&gt;"","和"&amp;INDEX([1]机架!$D:$D,D46+3),"")&amp;"的数据"</f>
        <v>检测机架长清万德の机架-7和长清万德の机架-8的数据</v>
      </c>
      <c r="I46" s="3">
        <f>INDEX([1]机架!$C:$C,C46+3)</f>
        <v>3701008131</v>
      </c>
      <c r="J46" s="3">
        <f>IF(D46&lt;&gt;"",INDEX([1]机架!$C:$C,D46+3),0)</f>
        <v>3701008132</v>
      </c>
    </row>
    <row r="47" spans="1:10" ht="16.5" x14ac:dyDescent="0.2">
      <c r="A47" s="3" t="s">
        <v>393</v>
      </c>
      <c r="B47" s="3">
        <v>44</v>
      </c>
      <c r="C47" s="3">
        <f t="shared" si="1"/>
        <v>87</v>
      </c>
      <c r="D47" s="3">
        <f t="shared" si="2"/>
        <v>88</v>
      </c>
      <c r="E47" s="3" t="str">
        <f t="shared" si="0"/>
        <v>dump:3318001073&amp;1119001073</v>
      </c>
      <c r="F47" s="3" t="str">
        <f t="shared" si="3"/>
        <v>哑资源设备_44</v>
      </c>
      <c r="G47" s="10" t="s">
        <v>406</v>
      </c>
      <c r="H47" s="3" t="str">
        <f>"检测机架"&amp;INDEX([1]机架!$D:$D,C47+3)&amp;IF(D47&lt;&gt;"","和"&amp;INDEX([1]机架!$D:$D,D47+3),"")&amp;"的数据"</f>
        <v>检测机架长清万德の机架-9和平阴西基站の机架-1的数据</v>
      </c>
      <c r="I47" s="3">
        <f>INDEX([1]机架!$C:$C,C47+3)</f>
        <v>3701008133</v>
      </c>
      <c r="J47" s="3">
        <f>IF(D47&lt;&gt;"",INDEX([1]机架!$C:$C,D47+3),0)</f>
        <v>3701009111</v>
      </c>
    </row>
    <row r="48" spans="1:10" ht="16.5" x14ac:dyDescent="0.2">
      <c r="A48" s="3" t="s">
        <v>393</v>
      </c>
      <c r="B48" s="3">
        <v>45</v>
      </c>
      <c r="C48" s="3">
        <f t="shared" si="1"/>
        <v>89</v>
      </c>
      <c r="D48" s="3">
        <f t="shared" si="2"/>
        <v>90</v>
      </c>
      <c r="E48" s="3" t="str">
        <f t="shared" si="0"/>
        <v>dump:2119001073&amp;3119001073</v>
      </c>
      <c r="F48" s="3" t="str">
        <f t="shared" si="3"/>
        <v>哑资源设备_45</v>
      </c>
      <c r="G48" s="10" t="s">
        <v>406</v>
      </c>
      <c r="H48" s="3" t="str">
        <f>"检测机架"&amp;INDEX([1]机架!$D:$D,C48+3)&amp;IF(D48&lt;&gt;"","和"&amp;INDEX([1]机架!$D:$D,D48+3),"")&amp;"的数据"</f>
        <v>检测机架平阴西基站の机架-2和平阴西基站の机架-3的数据</v>
      </c>
      <c r="I48" s="3">
        <f>INDEX([1]机架!$C:$C,C48+3)</f>
        <v>3701009112</v>
      </c>
      <c r="J48" s="3">
        <f>IF(D48&lt;&gt;"",INDEX([1]机架!$C:$C,D48+3),0)</f>
        <v>3701009113</v>
      </c>
    </row>
    <row r="49" spans="1:10" ht="16.5" x14ac:dyDescent="0.2">
      <c r="A49" s="3" t="s">
        <v>393</v>
      </c>
      <c r="B49" s="3">
        <v>46</v>
      </c>
      <c r="C49" s="3">
        <f t="shared" si="1"/>
        <v>91</v>
      </c>
      <c r="D49" s="3">
        <f t="shared" si="2"/>
        <v>92</v>
      </c>
      <c r="E49" s="3" t="str">
        <f t="shared" si="0"/>
        <v>dump:1219001073&amp;2219001073</v>
      </c>
      <c r="F49" s="3" t="str">
        <f t="shared" si="3"/>
        <v>哑资源设备_46</v>
      </c>
      <c r="G49" s="10" t="s">
        <v>406</v>
      </c>
      <c r="H49" s="3" t="str">
        <f>"检测机架"&amp;INDEX([1]机架!$D:$D,C49+3)&amp;IF(D49&lt;&gt;"","和"&amp;INDEX([1]机架!$D:$D,D49+3),"")&amp;"的数据"</f>
        <v>检测机架平阴西基站の机架-4和平阴西基站の机架-5的数据</v>
      </c>
      <c r="I49" s="3">
        <f>INDEX([1]机架!$C:$C,C49+3)</f>
        <v>3701009121</v>
      </c>
      <c r="J49" s="3">
        <f>IF(D49&lt;&gt;"",INDEX([1]机架!$C:$C,D49+3),0)</f>
        <v>3701009122</v>
      </c>
    </row>
    <row r="50" spans="1:10" ht="16.5" x14ac:dyDescent="0.2">
      <c r="A50" s="3" t="s">
        <v>393</v>
      </c>
      <c r="B50" s="3">
        <v>47</v>
      </c>
      <c r="C50" s="3">
        <f t="shared" si="1"/>
        <v>93</v>
      </c>
      <c r="D50" s="3">
        <f t="shared" si="2"/>
        <v>94</v>
      </c>
      <c r="E50" s="3" t="str">
        <f t="shared" si="0"/>
        <v>dump:3219001073&amp;1319001073</v>
      </c>
      <c r="F50" s="3" t="str">
        <f t="shared" si="3"/>
        <v>哑资源设备_47</v>
      </c>
      <c r="G50" s="10" t="s">
        <v>406</v>
      </c>
      <c r="H50" s="3" t="str">
        <f>"检测机架"&amp;INDEX([1]机架!$D:$D,C50+3)&amp;IF(D50&lt;&gt;"","和"&amp;INDEX([1]机架!$D:$D,D50+3),"")&amp;"的数据"</f>
        <v>检测机架平阴西基站の机架-6和平阴西基站の机架-7的数据</v>
      </c>
      <c r="I50" s="3">
        <f>INDEX([1]机架!$C:$C,C50+3)</f>
        <v>3701009123</v>
      </c>
      <c r="J50" s="3">
        <f>IF(D50&lt;&gt;"",INDEX([1]机架!$C:$C,D50+3),0)</f>
        <v>3701009131</v>
      </c>
    </row>
    <row r="51" spans="1:10" ht="16.5" x14ac:dyDescent="0.2">
      <c r="A51" s="3" t="s">
        <v>393</v>
      </c>
      <c r="B51" s="3">
        <v>48</v>
      </c>
      <c r="C51" s="3">
        <f t="shared" si="1"/>
        <v>95</v>
      </c>
      <c r="D51" s="3">
        <f t="shared" si="2"/>
        <v>96</v>
      </c>
      <c r="E51" s="3" t="str">
        <f t="shared" si="0"/>
        <v>dump:2319001073&amp;3319001073</v>
      </c>
      <c r="F51" s="3" t="str">
        <f t="shared" si="3"/>
        <v>哑资源设备_48</v>
      </c>
      <c r="G51" s="10" t="s">
        <v>406</v>
      </c>
      <c r="H51" s="3" t="str">
        <f>"检测机架"&amp;INDEX([1]机架!$D:$D,C51+3)&amp;IF(D51&lt;&gt;"","和"&amp;INDEX([1]机架!$D:$D,D51+3),"")&amp;"的数据"</f>
        <v>检测机架平阴西基站の机架-8和平阴西基站の机架-9的数据</v>
      </c>
      <c r="I51" s="3">
        <f>INDEX([1]机架!$C:$C,C51+3)</f>
        <v>3701009132</v>
      </c>
      <c r="J51" s="3">
        <f>IF(D51&lt;&gt;"",INDEX([1]机架!$C:$C,D51+3),0)</f>
        <v>3701009133</v>
      </c>
    </row>
    <row r="52" spans="1:10" ht="16.5" x14ac:dyDescent="0.2">
      <c r="A52" s="3" t="s">
        <v>393</v>
      </c>
      <c r="B52" s="3">
        <v>49</v>
      </c>
      <c r="C52" s="3">
        <f t="shared" si="1"/>
        <v>97</v>
      </c>
      <c r="D52" s="3">
        <f t="shared" si="2"/>
        <v>98</v>
      </c>
      <c r="E52" s="3" t="str">
        <f t="shared" si="0"/>
        <v>dump:1110101073&amp;2110101073</v>
      </c>
      <c r="F52" s="3" t="str">
        <f t="shared" si="3"/>
        <v>哑资源设备_49</v>
      </c>
      <c r="G52" s="10" t="s">
        <v>406</v>
      </c>
      <c r="H52" s="3" t="str">
        <f>"检测机架"&amp;INDEX([1]机架!$D:$D,C52+3)&amp;IF(D52&lt;&gt;"","和"&amp;INDEX([1]机架!$D:$D,D52+3),"")&amp;"的数据"</f>
        <v>检测机架平阴の机架-1和平阴の机架-2的数据</v>
      </c>
      <c r="I52" s="3">
        <f>INDEX([1]机架!$C:$C,C52+3)</f>
        <v>3701010111</v>
      </c>
      <c r="J52" s="3">
        <f>IF(D52&lt;&gt;"",INDEX([1]机架!$C:$C,D52+3),0)</f>
        <v>3701010112</v>
      </c>
    </row>
    <row r="53" spans="1:10" ht="16.5" x14ac:dyDescent="0.2">
      <c r="A53" s="3" t="s">
        <v>393</v>
      </c>
      <c r="B53" s="3">
        <v>50</v>
      </c>
      <c r="C53" s="3">
        <f t="shared" si="1"/>
        <v>99</v>
      </c>
      <c r="D53" s="3">
        <f t="shared" si="2"/>
        <v>100</v>
      </c>
      <c r="E53" s="3" t="str">
        <f t="shared" si="0"/>
        <v>dump:3110101073&amp;1210101073</v>
      </c>
      <c r="F53" s="3" t="str">
        <f t="shared" si="3"/>
        <v>哑资源设备_50</v>
      </c>
      <c r="G53" s="10" t="s">
        <v>406</v>
      </c>
      <c r="H53" s="3" t="str">
        <f>"检测机架"&amp;INDEX([1]机架!$D:$D,C53+3)&amp;IF(D53&lt;&gt;"","和"&amp;INDEX([1]机架!$D:$D,D53+3),"")&amp;"的数据"</f>
        <v>检测机架平阴の机架-3和平阴の机架-4的数据</v>
      </c>
      <c r="I53" s="3">
        <f>INDEX([1]机架!$C:$C,C53+3)</f>
        <v>3701010113</v>
      </c>
      <c r="J53" s="3">
        <f>IF(D53&lt;&gt;"",INDEX([1]机架!$C:$C,D53+3),0)</f>
        <v>3701010121</v>
      </c>
    </row>
    <row r="54" spans="1:10" ht="16.5" x14ac:dyDescent="0.2">
      <c r="A54" s="3" t="s">
        <v>393</v>
      </c>
      <c r="B54" s="3">
        <v>51</v>
      </c>
      <c r="C54" s="3">
        <f t="shared" si="1"/>
        <v>101</v>
      </c>
      <c r="D54" s="3">
        <f t="shared" si="2"/>
        <v>102</v>
      </c>
      <c r="E54" s="3" t="str">
        <f t="shared" si="0"/>
        <v>dump:2210101073&amp;3210101073</v>
      </c>
      <c r="F54" s="3" t="str">
        <f t="shared" si="3"/>
        <v>哑资源设备_51</v>
      </c>
      <c r="G54" s="10" t="s">
        <v>406</v>
      </c>
      <c r="H54" s="3" t="str">
        <f>"检测机架"&amp;INDEX([1]机架!$D:$D,C54+3)&amp;IF(D54&lt;&gt;"","和"&amp;INDEX([1]机架!$D:$D,D54+3),"")&amp;"的数据"</f>
        <v>检测机架平阴の机架-5和平阴の机架-6的数据</v>
      </c>
      <c r="I54" s="3">
        <f>INDEX([1]机架!$C:$C,C54+3)</f>
        <v>3701010122</v>
      </c>
      <c r="J54" s="3">
        <f>IF(D54&lt;&gt;"",INDEX([1]机架!$C:$C,D54+3),0)</f>
        <v>3701010123</v>
      </c>
    </row>
    <row r="55" spans="1:10" ht="16.5" x14ac:dyDescent="0.2">
      <c r="A55" s="3" t="s">
        <v>393</v>
      </c>
      <c r="B55" s="3">
        <v>52</v>
      </c>
      <c r="C55" s="3">
        <f t="shared" si="1"/>
        <v>103</v>
      </c>
      <c r="D55" s="3">
        <f t="shared" si="2"/>
        <v>104</v>
      </c>
      <c r="E55" s="3" t="str">
        <f t="shared" si="0"/>
        <v>dump:1310101073&amp;2310101073</v>
      </c>
      <c r="F55" s="3" t="str">
        <f t="shared" si="3"/>
        <v>哑资源设备_52</v>
      </c>
      <c r="G55" s="10" t="s">
        <v>406</v>
      </c>
      <c r="H55" s="3" t="str">
        <f>"检测机架"&amp;INDEX([1]机架!$D:$D,C55+3)&amp;IF(D55&lt;&gt;"","和"&amp;INDEX([1]机架!$D:$D,D55+3),"")&amp;"的数据"</f>
        <v>检测机架平阴の机架-7和平阴の机架-8的数据</v>
      </c>
      <c r="I55" s="3">
        <f>INDEX([1]机架!$C:$C,C55+3)</f>
        <v>3701010131</v>
      </c>
      <c r="J55" s="3">
        <f>IF(D55&lt;&gt;"",INDEX([1]机架!$C:$C,D55+3),0)</f>
        <v>3701010132</v>
      </c>
    </row>
    <row r="56" spans="1:10" ht="16.5" x14ac:dyDescent="0.2">
      <c r="A56" s="3" t="s">
        <v>393</v>
      </c>
      <c r="B56" s="3">
        <v>53</v>
      </c>
      <c r="C56" s="3">
        <f t="shared" si="1"/>
        <v>105</v>
      </c>
      <c r="D56" s="3">
        <f t="shared" si="2"/>
        <v>106</v>
      </c>
      <c r="E56" s="3" t="str">
        <f t="shared" si="0"/>
        <v>dump:3310101073&amp;1111101073</v>
      </c>
      <c r="F56" s="3" t="str">
        <f t="shared" si="3"/>
        <v>哑资源设备_53</v>
      </c>
      <c r="G56" s="10" t="s">
        <v>406</v>
      </c>
      <c r="H56" s="3" t="str">
        <f>"检测机架"&amp;INDEX([1]机架!$D:$D,C56+3)&amp;IF(D56&lt;&gt;"","和"&amp;INDEX([1]机架!$D:$D,D56+3),"")&amp;"的数据"</f>
        <v>检测机架平阴の机架-9和明水の机架-1的数据</v>
      </c>
      <c r="I56" s="3">
        <f>INDEX([1]机架!$C:$C,C56+3)</f>
        <v>3701010133</v>
      </c>
      <c r="J56" s="3">
        <f>IF(D56&lt;&gt;"",INDEX([1]机架!$C:$C,D56+3),0)</f>
        <v>3701011111</v>
      </c>
    </row>
    <row r="57" spans="1:10" ht="16.5" x14ac:dyDescent="0.2">
      <c r="A57" s="3" t="s">
        <v>393</v>
      </c>
      <c r="B57" s="3">
        <v>54</v>
      </c>
      <c r="C57" s="3">
        <f t="shared" si="1"/>
        <v>107</v>
      </c>
      <c r="D57" s="3">
        <f t="shared" si="2"/>
        <v>108</v>
      </c>
      <c r="E57" s="3" t="str">
        <f t="shared" si="0"/>
        <v>dump:2111101073&amp;3111101073</v>
      </c>
      <c r="F57" s="3" t="str">
        <f t="shared" si="3"/>
        <v>哑资源设备_54</v>
      </c>
      <c r="G57" s="10" t="s">
        <v>406</v>
      </c>
      <c r="H57" s="3" t="str">
        <f>"检测机架"&amp;INDEX([1]机架!$D:$D,C57+3)&amp;IF(D57&lt;&gt;"","和"&amp;INDEX([1]机架!$D:$D,D57+3),"")&amp;"的数据"</f>
        <v>检测机架明水の机架-2和明水の机架-3的数据</v>
      </c>
      <c r="I57" s="3">
        <f>INDEX([1]机架!$C:$C,C57+3)</f>
        <v>3701011112</v>
      </c>
      <c r="J57" s="3">
        <f>IF(D57&lt;&gt;"",INDEX([1]机架!$C:$C,D57+3),0)</f>
        <v>3701011113</v>
      </c>
    </row>
    <row r="58" spans="1:10" ht="16.5" x14ac:dyDescent="0.2">
      <c r="A58" s="3" t="s">
        <v>393</v>
      </c>
      <c r="B58" s="3">
        <v>55</v>
      </c>
      <c r="C58" s="3">
        <f t="shared" si="1"/>
        <v>109</v>
      </c>
      <c r="D58" s="3">
        <f t="shared" si="2"/>
        <v>110</v>
      </c>
      <c r="E58" s="3" t="str">
        <f t="shared" si="0"/>
        <v>dump:1211101073&amp;2211101073</v>
      </c>
      <c r="F58" s="3" t="str">
        <f t="shared" si="3"/>
        <v>哑资源设备_55</v>
      </c>
      <c r="G58" s="10" t="s">
        <v>406</v>
      </c>
      <c r="H58" s="3" t="str">
        <f>"检测机架"&amp;INDEX([1]机架!$D:$D,C58+3)&amp;IF(D58&lt;&gt;"","和"&amp;INDEX([1]机架!$D:$D,D58+3),"")&amp;"的数据"</f>
        <v>检测机架明水の机架-4和明水の机架-5的数据</v>
      </c>
      <c r="I58" s="3">
        <f>INDEX([1]机架!$C:$C,C58+3)</f>
        <v>3701011121</v>
      </c>
      <c r="J58" s="3">
        <f>IF(D58&lt;&gt;"",INDEX([1]机架!$C:$C,D58+3),0)</f>
        <v>3701011122</v>
      </c>
    </row>
    <row r="59" spans="1:10" ht="16.5" x14ac:dyDescent="0.2">
      <c r="A59" s="3" t="s">
        <v>393</v>
      </c>
      <c r="B59" s="3">
        <v>56</v>
      </c>
      <c r="C59" s="3">
        <f t="shared" si="1"/>
        <v>111</v>
      </c>
      <c r="D59" s="3">
        <f t="shared" si="2"/>
        <v>112</v>
      </c>
      <c r="E59" s="3" t="str">
        <f t="shared" si="0"/>
        <v>dump:3211101073&amp;1311101073</v>
      </c>
      <c r="F59" s="3" t="str">
        <f t="shared" si="3"/>
        <v>哑资源设备_56</v>
      </c>
      <c r="G59" s="10" t="s">
        <v>406</v>
      </c>
      <c r="H59" s="3" t="str">
        <f>"检测机架"&amp;INDEX([1]机架!$D:$D,C59+3)&amp;IF(D59&lt;&gt;"","和"&amp;INDEX([1]机架!$D:$D,D59+3),"")&amp;"的数据"</f>
        <v>检测机架明水の机架-6和明水の机架-7的数据</v>
      </c>
      <c r="I59" s="3">
        <f>INDEX([1]机架!$C:$C,C59+3)</f>
        <v>3701011123</v>
      </c>
      <c r="J59" s="3">
        <f>IF(D59&lt;&gt;"",INDEX([1]机架!$C:$C,D59+3),0)</f>
        <v>3701011131</v>
      </c>
    </row>
    <row r="60" spans="1:10" ht="16.5" x14ac:dyDescent="0.2">
      <c r="A60" s="3" t="s">
        <v>393</v>
      </c>
      <c r="B60" s="3">
        <v>57</v>
      </c>
      <c r="C60" s="3">
        <f t="shared" si="1"/>
        <v>113</v>
      </c>
      <c r="D60" s="3">
        <f t="shared" si="2"/>
        <v>114</v>
      </c>
      <c r="E60" s="3" t="str">
        <f t="shared" si="0"/>
        <v>dump:2311101073&amp;3311101073</v>
      </c>
      <c r="F60" s="3" t="str">
        <f t="shared" si="3"/>
        <v>哑资源设备_57</v>
      </c>
      <c r="G60" s="10" t="s">
        <v>406</v>
      </c>
      <c r="H60" s="3" t="str">
        <f>"检测机架"&amp;INDEX([1]机架!$D:$D,C60+3)&amp;IF(D60&lt;&gt;"","和"&amp;INDEX([1]机架!$D:$D,D60+3),"")&amp;"的数据"</f>
        <v>检测机架明水の机架-8和明水の机架-9的数据</v>
      </c>
      <c r="I60" s="3">
        <f>INDEX([1]机架!$C:$C,C60+3)</f>
        <v>3701011132</v>
      </c>
      <c r="J60" s="3">
        <f>IF(D60&lt;&gt;"",INDEX([1]机架!$C:$C,D60+3),0)</f>
        <v>3701011133</v>
      </c>
    </row>
    <row r="61" spans="1:10" ht="16.5" x14ac:dyDescent="0.2">
      <c r="A61" s="3" t="s">
        <v>393</v>
      </c>
      <c r="B61" s="3">
        <v>58</v>
      </c>
      <c r="C61" s="3">
        <f t="shared" si="1"/>
        <v>115</v>
      </c>
      <c r="D61" s="3">
        <f t="shared" si="2"/>
        <v>116</v>
      </c>
      <c r="E61" s="3" t="str">
        <f t="shared" si="0"/>
        <v>dump:1112101073&amp;2112101073</v>
      </c>
      <c r="F61" s="3" t="str">
        <f t="shared" si="3"/>
        <v>哑资源设备_58</v>
      </c>
      <c r="G61" s="10" t="s">
        <v>406</v>
      </c>
      <c r="H61" s="3" t="str">
        <f>"检测机架"&amp;INDEX([1]机架!$D:$D,C61+3)&amp;IF(D61&lt;&gt;"","和"&amp;INDEX([1]机架!$D:$D,D61+3),"")&amp;"的数据"</f>
        <v>检测机架章丘普集の机架-1和章丘普集の机架-2的数据</v>
      </c>
      <c r="I61" s="3">
        <f>INDEX([1]机架!$C:$C,C61+3)</f>
        <v>3701012111</v>
      </c>
      <c r="J61" s="3">
        <f>IF(D61&lt;&gt;"",INDEX([1]机架!$C:$C,D61+3),0)</f>
        <v>3701012112</v>
      </c>
    </row>
    <row r="62" spans="1:10" ht="16.5" x14ac:dyDescent="0.2">
      <c r="A62" s="3" t="s">
        <v>393</v>
      </c>
      <c r="B62" s="3">
        <v>59</v>
      </c>
      <c r="C62" s="3">
        <f t="shared" si="1"/>
        <v>117</v>
      </c>
      <c r="D62" s="3">
        <f t="shared" si="2"/>
        <v>118</v>
      </c>
      <c r="E62" s="3" t="str">
        <f t="shared" si="0"/>
        <v>dump:3112101073&amp;1212101073</v>
      </c>
      <c r="F62" s="3" t="str">
        <f t="shared" si="3"/>
        <v>哑资源设备_59</v>
      </c>
      <c r="G62" s="10" t="s">
        <v>406</v>
      </c>
      <c r="H62" s="3" t="str">
        <f>"检测机架"&amp;INDEX([1]机架!$D:$D,C62+3)&amp;IF(D62&lt;&gt;"","和"&amp;INDEX([1]机架!$D:$D,D62+3),"")&amp;"的数据"</f>
        <v>检测机架章丘普集の机架-3和章丘普集の机架-4的数据</v>
      </c>
      <c r="I62" s="3">
        <f>INDEX([1]机架!$C:$C,C62+3)</f>
        <v>3701012113</v>
      </c>
      <c r="J62" s="3">
        <f>IF(D62&lt;&gt;"",INDEX([1]机架!$C:$C,D62+3),0)</f>
        <v>3701012121</v>
      </c>
    </row>
    <row r="63" spans="1:10" ht="16.5" x14ac:dyDescent="0.2">
      <c r="A63" s="3" t="s">
        <v>393</v>
      </c>
      <c r="B63" s="3">
        <v>60</v>
      </c>
      <c r="C63" s="3">
        <f t="shared" si="1"/>
        <v>119</v>
      </c>
      <c r="D63" s="3">
        <f t="shared" si="2"/>
        <v>120</v>
      </c>
      <c r="E63" s="3" t="str">
        <f t="shared" si="0"/>
        <v>dump:2212101073&amp;3212101073</v>
      </c>
      <c r="F63" s="3" t="str">
        <f t="shared" si="3"/>
        <v>哑资源设备_60</v>
      </c>
      <c r="G63" s="10" t="s">
        <v>406</v>
      </c>
      <c r="H63" s="3" t="str">
        <f>"检测机架"&amp;INDEX([1]机架!$D:$D,C63+3)&amp;IF(D63&lt;&gt;"","和"&amp;INDEX([1]机架!$D:$D,D63+3),"")&amp;"的数据"</f>
        <v>检测机架章丘普集の机架-5和章丘普集の机架-6的数据</v>
      </c>
      <c r="I63" s="3">
        <f>INDEX([1]机架!$C:$C,C63+3)</f>
        <v>3701012122</v>
      </c>
      <c r="J63" s="3">
        <f>IF(D63&lt;&gt;"",INDEX([1]机架!$C:$C,D63+3),0)</f>
        <v>3701012123</v>
      </c>
    </row>
    <row r="64" spans="1:10" ht="16.5" x14ac:dyDescent="0.2">
      <c r="A64" s="3" t="s">
        <v>393</v>
      </c>
      <c r="B64" s="3">
        <v>61</v>
      </c>
      <c r="C64" s="3">
        <f t="shared" si="1"/>
        <v>121</v>
      </c>
      <c r="D64" s="3">
        <f t="shared" si="2"/>
        <v>122</v>
      </c>
      <c r="E64" s="3" t="str">
        <f t="shared" si="0"/>
        <v>dump:1312101073&amp;2312101073</v>
      </c>
      <c r="F64" s="3" t="str">
        <f t="shared" si="3"/>
        <v>哑资源设备_61</v>
      </c>
      <c r="G64" s="10" t="s">
        <v>406</v>
      </c>
      <c r="H64" s="3" t="str">
        <f>"检测机架"&amp;INDEX([1]机架!$D:$D,C64+3)&amp;IF(D64&lt;&gt;"","和"&amp;INDEX([1]机架!$D:$D,D64+3),"")&amp;"的数据"</f>
        <v>检测机架章丘普集の机架-7和章丘普集の机架-8的数据</v>
      </c>
      <c r="I64" s="3">
        <f>INDEX([1]机架!$C:$C,C64+3)</f>
        <v>3701012131</v>
      </c>
      <c r="J64" s="3">
        <f>IF(D64&lt;&gt;"",INDEX([1]机架!$C:$C,D64+3),0)</f>
        <v>3701012132</v>
      </c>
    </row>
    <row r="65" spans="1:10" ht="16.5" x14ac:dyDescent="0.2">
      <c r="A65" s="3" t="s">
        <v>393</v>
      </c>
      <c r="B65" s="3">
        <v>62</v>
      </c>
      <c r="C65" s="3">
        <f t="shared" si="1"/>
        <v>123</v>
      </c>
      <c r="D65" s="3">
        <f t="shared" si="2"/>
        <v>124</v>
      </c>
      <c r="E65" s="3" t="str">
        <f t="shared" si="0"/>
        <v>dump:3312101073&amp;1111002073</v>
      </c>
      <c r="F65" s="3" t="str">
        <f t="shared" si="3"/>
        <v>哑资源设备_62</v>
      </c>
      <c r="G65" s="10" t="s">
        <v>406</v>
      </c>
      <c r="H65" s="3" t="str">
        <f>"检测机架"&amp;INDEX([1]机架!$D:$D,C65+3)&amp;IF(D65&lt;&gt;"","和"&amp;INDEX([1]机架!$D:$D,D65+3),"")&amp;"的数据"</f>
        <v>检测机架章丘普集の机架-9和青岛振华路の机架-1的数据</v>
      </c>
      <c r="I65" s="3">
        <f>INDEX([1]机架!$C:$C,C65+3)</f>
        <v>3701012133</v>
      </c>
      <c r="J65" s="3">
        <f>IF(D65&lt;&gt;"",INDEX([1]机架!$C:$C,D65+3),0)</f>
        <v>3702001111</v>
      </c>
    </row>
    <row r="66" spans="1:10" ht="16.5" x14ac:dyDescent="0.2">
      <c r="A66" s="3" t="s">
        <v>393</v>
      </c>
      <c r="B66" s="3">
        <v>63</v>
      </c>
      <c r="C66" s="3">
        <f t="shared" si="1"/>
        <v>125</v>
      </c>
      <c r="D66" s="3">
        <f t="shared" si="2"/>
        <v>126</v>
      </c>
      <c r="E66" s="3" t="str">
        <f t="shared" si="0"/>
        <v>dump:2111002073&amp;3111002073</v>
      </c>
      <c r="F66" s="3" t="str">
        <f t="shared" si="3"/>
        <v>哑资源设备_63</v>
      </c>
      <c r="G66" s="10" t="s">
        <v>406</v>
      </c>
      <c r="H66" s="3" t="str">
        <f>"检测机架"&amp;INDEX([1]机架!$D:$D,C66+3)&amp;IF(D66&lt;&gt;"","和"&amp;INDEX([1]机架!$D:$D,D66+3),"")&amp;"的数据"</f>
        <v>检测机架青岛振华路の机架-2和青岛振华路の机架-3的数据</v>
      </c>
      <c r="I66" s="3">
        <f>INDEX([1]机架!$C:$C,C66+3)</f>
        <v>3702001112</v>
      </c>
      <c r="J66" s="3">
        <f>IF(D66&lt;&gt;"",INDEX([1]机架!$C:$C,D66+3),0)</f>
        <v>3702001113</v>
      </c>
    </row>
    <row r="67" spans="1:10" ht="16.5" x14ac:dyDescent="0.2">
      <c r="A67" s="3" t="s">
        <v>393</v>
      </c>
      <c r="B67" s="3">
        <v>64</v>
      </c>
      <c r="C67" s="3">
        <f t="shared" si="1"/>
        <v>127</v>
      </c>
      <c r="D67" s="3">
        <f t="shared" si="2"/>
        <v>128</v>
      </c>
      <c r="E67" s="3" t="str">
        <f t="shared" si="0"/>
        <v>dump:1211002073&amp;2211002073</v>
      </c>
      <c r="F67" s="3" t="str">
        <f t="shared" si="3"/>
        <v>哑资源设备_64</v>
      </c>
      <c r="G67" s="10" t="s">
        <v>406</v>
      </c>
      <c r="H67" s="3" t="str">
        <f>"检测机架"&amp;INDEX([1]机架!$D:$D,C67+3)&amp;IF(D67&lt;&gt;"","和"&amp;INDEX([1]机架!$D:$D,D67+3),"")&amp;"的数据"</f>
        <v>检测机架青岛振华路の机架-4和青岛振华路の机架-5的数据</v>
      </c>
      <c r="I67" s="3">
        <f>INDEX([1]机架!$C:$C,C67+3)</f>
        <v>3702001121</v>
      </c>
      <c r="J67" s="3">
        <f>IF(D67&lt;&gt;"",INDEX([1]机架!$C:$C,D67+3),0)</f>
        <v>3702001122</v>
      </c>
    </row>
    <row r="68" spans="1:10" ht="16.5" x14ac:dyDescent="0.2">
      <c r="A68" s="3" t="s">
        <v>393</v>
      </c>
      <c r="B68" s="3">
        <v>65</v>
      </c>
      <c r="C68" s="3">
        <f t="shared" si="1"/>
        <v>129</v>
      </c>
      <c r="D68" s="3">
        <f t="shared" si="2"/>
        <v>130</v>
      </c>
      <c r="E68" s="3" t="str">
        <f t="shared" ref="E68:E131" si="4">"dump:"&amp;Reverse(I68)&amp;"&amp;"&amp;Reverse(J68)</f>
        <v>dump:3211002073&amp;1311002073</v>
      </c>
      <c r="F68" s="3" t="str">
        <f t="shared" si="3"/>
        <v>哑资源设备_65</v>
      </c>
      <c r="G68" s="10" t="s">
        <v>406</v>
      </c>
      <c r="H68" s="3" t="str">
        <f>"检测机架"&amp;INDEX([1]机架!$D:$D,C68+3)&amp;IF(D68&lt;&gt;"","和"&amp;INDEX([1]机架!$D:$D,D68+3),"")&amp;"的数据"</f>
        <v>检测机架青岛振华路の机架-6和青岛振华路の机架-7的数据</v>
      </c>
      <c r="I68" s="3">
        <f>INDEX([1]机架!$C:$C,C68+3)</f>
        <v>3702001123</v>
      </c>
      <c r="J68" s="3">
        <f>IF(D68&lt;&gt;"",INDEX([1]机架!$C:$C,D68+3),0)</f>
        <v>3702001131</v>
      </c>
    </row>
    <row r="69" spans="1:10" ht="16.5" x14ac:dyDescent="0.2">
      <c r="A69" s="3" t="s">
        <v>393</v>
      </c>
      <c r="B69" s="3">
        <v>66</v>
      </c>
      <c r="C69" s="3">
        <f t="shared" ref="C69:C132" si="5">MOD(B69-1,INT(($N$3+1)/2))*2+1</f>
        <v>131</v>
      </c>
      <c r="D69" s="3">
        <f t="shared" ref="D69:D132" si="6">IF(C69&lt;$N$3,MOD(B69-1,INT(($N$3+1)/2))*2+2,"")</f>
        <v>132</v>
      </c>
      <c r="E69" s="3" t="str">
        <f t="shared" si="4"/>
        <v>dump:2311002073&amp;3311002073</v>
      </c>
      <c r="F69" s="3" t="str">
        <f t="shared" ref="F69:F132" si="7">"哑资源设备_"&amp;B69</f>
        <v>哑资源设备_66</v>
      </c>
      <c r="G69" s="10" t="s">
        <v>406</v>
      </c>
      <c r="H69" s="3" t="str">
        <f>"检测机架"&amp;INDEX([1]机架!$D:$D,C69+3)&amp;IF(D69&lt;&gt;"","和"&amp;INDEX([1]机架!$D:$D,D69+3),"")&amp;"的数据"</f>
        <v>检测机架青岛振华路の机架-8和青岛振华路の机架-9的数据</v>
      </c>
      <c r="I69" s="3">
        <f>INDEX([1]机架!$C:$C,C69+3)</f>
        <v>3702001132</v>
      </c>
      <c r="J69" s="3">
        <f>IF(D69&lt;&gt;"",INDEX([1]机架!$C:$C,D69+3),0)</f>
        <v>3702001133</v>
      </c>
    </row>
    <row r="70" spans="1:10" ht="16.5" x14ac:dyDescent="0.2">
      <c r="A70" s="3" t="s">
        <v>393</v>
      </c>
      <c r="B70" s="3">
        <v>67</v>
      </c>
      <c r="C70" s="3">
        <f t="shared" si="5"/>
        <v>133</v>
      </c>
      <c r="D70" s="3">
        <f t="shared" si="6"/>
        <v>134</v>
      </c>
      <c r="E70" s="3" t="str">
        <f t="shared" si="4"/>
        <v>dump:1121002073&amp;2121002073</v>
      </c>
      <c r="F70" s="3" t="str">
        <f t="shared" si="7"/>
        <v>哑资源设备_67</v>
      </c>
      <c r="G70" s="10" t="s">
        <v>406</v>
      </c>
      <c r="H70" s="3" t="str">
        <f>"检测机架"&amp;INDEX([1]机架!$D:$D,C70+3)&amp;IF(D70&lt;&gt;"","和"&amp;INDEX([1]机架!$D:$D,D70+3),"")&amp;"的数据"</f>
        <v>检测机架青岛振华路の机架-10和青岛振华路の机架-11的数据</v>
      </c>
      <c r="I70" s="3">
        <f>INDEX([1]机架!$C:$C,C70+3)</f>
        <v>3702001211</v>
      </c>
      <c r="J70" s="3">
        <f>IF(D70&lt;&gt;"",INDEX([1]机架!$C:$C,D70+3),0)</f>
        <v>3702001212</v>
      </c>
    </row>
    <row r="71" spans="1:10" ht="16.5" x14ac:dyDescent="0.2">
      <c r="A71" s="3" t="s">
        <v>393</v>
      </c>
      <c r="B71" s="3">
        <v>68</v>
      </c>
      <c r="C71" s="3">
        <f t="shared" si="5"/>
        <v>135</v>
      </c>
      <c r="D71" s="3">
        <f t="shared" si="6"/>
        <v>136</v>
      </c>
      <c r="E71" s="3" t="str">
        <f t="shared" si="4"/>
        <v>dump:3121002073&amp;1221002073</v>
      </c>
      <c r="F71" s="3" t="str">
        <f t="shared" si="7"/>
        <v>哑资源设备_68</v>
      </c>
      <c r="G71" s="10" t="s">
        <v>406</v>
      </c>
      <c r="H71" s="3" t="str">
        <f>"检测机架"&amp;INDEX([1]机架!$D:$D,C71+3)&amp;IF(D71&lt;&gt;"","和"&amp;INDEX([1]机架!$D:$D,D71+3),"")&amp;"的数据"</f>
        <v>检测机架青岛振华路の机架-12和青岛振华路の机架-13的数据</v>
      </c>
      <c r="I71" s="3">
        <f>INDEX([1]机架!$C:$C,C71+3)</f>
        <v>3702001213</v>
      </c>
      <c r="J71" s="3">
        <f>IF(D71&lt;&gt;"",INDEX([1]机架!$C:$C,D71+3),0)</f>
        <v>3702001221</v>
      </c>
    </row>
    <row r="72" spans="1:10" ht="16.5" x14ac:dyDescent="0.2">
      <c r="A72" s="3" t="s">
        <v>393</v>
      </c>
      <c r="B72" s="3">
        <v>69</v>
      </c>
      <c r="C72" s="3">
        <f t="shared" si="5"/>
        <v>137</v>
      </c>
      <c r="D72" s="3">
        <f t="shared" si="6"/>
        <v>138</v>
      </c>
      <c r="E72" s="3" t="str">
        <f t="shared" si="4"/>
        <v>dump:2221002073&amp;3221002073</v>
      </c>
      <c r="F72" s="3" t="str">
        <f t="shared" si="7"/>
        <v>哑资源设备_69</v>
      </c>
      <c r="G72" s="10" t="s">
        <v>406</v>
      </c>
      <c r="H72" s="3" t="str">
        <f>"检测机架"&amp;INDEX([1]机架!$D:$D,C72+3)&amp;IF(D72&lt;&gt;"","和"&amp;INDEX([1]机架!$D:$D,D72+3),"")&amp;"的数据"</f>
        <v>检测机架青岛振华路の机架-14和青岛振华路の机架-15的数据</v>
      </c>
      <c r="I72" s="3">
        <f>INDEX([1]机架!$C:$C,C72+3)</f>
        <v>3702001222</v>
      </c>
      <c r="J72" s="3">
        <f>IF(D72&lt;&gt;"",INDEX([1]机架!$C:$C,D72+3),0)</f>
        <v>3702001223</v>
      </c>
    </row>
    <row r="73" spans="1:10" ht="16.5" x14ac:dyDescent="0.2">
      <c r="A73" s="3" t="s">
        <v>393</v>
      </c>
      <c r="B73" s="3">
        <v>70</v>
      </c>
      <c r="C73" s="3">
        <f t="shared" si="5"/>
        <v>139</v>
      </c>
      <c r="D73" s="3">
        <f t="shared" si="6"/>
        <v>140</v>
      </c>
      <c r="E73" s="3" t="str">
        <f t="shared" si="4"/>
        <v>dump:1321002073&amp;2321002073</v>
      </c>
      <c r="F73" s="3" t="str">
        <f t="shared" si="7"/>
        <v>哑资源设备_70</v>
      </c>
      <c r="G73" s="10" t="s">
        <v>406</v>
      </c>
      <c r="H73" s="3" t="str">
        <f>"检测机架"&amp;INDEX([1]机架!$D:$D,C73+3)&amp;IF(D73&lt;&gt;"","和"&amp;INDEX([1]机架!$D:$D,D73+3),"")&amp;"的数据"</f>
        <v>检测机架青岛振华路の机架-16和青岛振华路の机架-17的数据</v>
      </c>
      <c r="I73" s="3">
        <f>INDEX([1]机架!$C:$C,C73+3)</f>
        <v>3702001231</v>
      </c>
      <c r="J73" s="3">
        <f>IF(D73&lt;&gt;"",INDEX([1]机架!$C:$C,D73+3),0)</f>
        <v>3702001232</v>
      </c>
    </row>
    <row r="74" spans="1:10" ht="16.5" x14ac:dyDescent="0.2">
      <c r="A74" s="3" t="s">
        <v>393</v>
      </c>
      <c r="B74" s="3">
        <v>71</v>
      </c>
      <c r="C74" s="3">
        <f t="shared" si="5"/>
        <v>141</v>
      </c>
      <c r="D74" s="3">
        <f t="shared" si="6"/>
        <v>142</v>
      </c>
      <c r="E74" s="3" t="str">
        <f t="shared" si="4"/>
        <v>dump:3321002073&amp;1112002073</v>
      </c>
      <c r="F74" s="3" t="str">
        <f t="shared" si="7"/>
        <v>哑资源设备_71</v>
      </c>
      <c r="G74" s="10" t="s">
        <v>406</v>
      </c>
      <c r="H74" s="3" t="str">
        <f>"检测机架"&amp;INDEX([1]机架!$D:$D,C74+3)&amp;IF(D74&lt;&gt;"","和"&amp;INDEX([1]机架!$D:$D,D74+3),"")&amp;"的数据"</f>
        <v>检测机架青岛振华路の机架-18和青岛山东路の机架-1的数据</v>
      </c>
      <c r="I74" s="3">
        <f>INDEX([1]机架!$C:$C,C74+3)</f>
        <v>3702001233</v>
      </c>
      <c r="J74" s="3">
        <f>IF(D74&lt;&gt;"",INDEX([1]机架!$C:$C,D74+3),0)</f>
        <v>3702002111</v>
      </c>
    </row>
    <row r="75" spans="1:10" ht="16.5" x14ac:dyDescent="0.2">
      <c r="A75" s="3" t="s">
        <v>393</v>
      </c>
      <c r="B75" s="3">
        <v>72</v>
      </c>
      <c r="C75" s="3">
        <f t="shared" si="5"/>
        <v>143</v>
      </c>
      <c r="D75" s="3">
        <f t="shared" si="6"/>
        <v>144</v>
      </c>
      <c r="E75" s="3" t="str">
        <f t="shared" si="4"/>
        <v>dump:2112002073&amp;3112002073</v>
      </c>
      <c r="F75" s="3" t="str">
        <f t="shared" si="7"/>
        <v>哑资源设备_72</v>
      </c>
      <c r="G75" s="10" t="s">
        <v>406</v>
      </c>
      <c r="H75" s="3" t="str">
        <f>"检测机架"&amp;INDEX([1]机架!$D:$D,C75+3)&amp;IF(D75&lt;&gt;"","和"&amp;INDEX([1]机架!$D:$D,D75+3),"")&amp;"的数据"</f>
        <v>检测机架青岛山东路の机架-2和青岛山东路の机架-3的数据</v>
      </c>
      <c r="I75" s="3">
        <f>INDEX([1]机架!$C:$C,C75+3)</f>
        <v>3702002112</v>
      </c>
      <c r="J75" s="3">
        <f>IF(D75&lt;&gt;"",INDEX([1]机架!$C:$C,D75+3),0)</f>
        <v>3702002113</v>
      </c>
    </row>
    <row r="76" spans="1:10" ht="16.5" x14ac:dyDescent="0.2">
      <c r="A76" s="3" t="s">
        <v>393</v>
      </c>
      <c r="B76" s="3">
        <v>73</v>
      </c>
      <c r="C76" s="3">
        <f t="shared" si="5"/>
        <v>145</v>
      </c>
      <c r="D76" s="3">
        <f t="shared" si="6"/>
        <v>146</v>
      </c>
      <c r="E76" s="3" t="str">
        <f t="shared" si="4"/>
        <v>dump:1212002073&amp;2212002073</v>
      </c>
      <c r="F76" s="3" t="str">
        <f t="shared" si="7"/>
        <v>哑资源设备_73</v>
      </c>
      <c r="G76" s="10" t="s">
        <v>406</v>
      </c>
      <c r="H76" s="3" t="str">
        <f>"检测机架"&amp;INDEX([1]机架!$D:$D,C76+3)&amp;IF(D76&lt;&gt;"","和"&amp;INDEX([1]机架!$D:$D,D76+3),"")&amp;"的数据"</f>
        <v>检测机架青岛山东路の机架-4和青岛山东路の机架-5的数据</v>
      </c>
      <c r="I76" s="3">
        <f>INDEX([1]机架!$C:$C,C76+3)</f>
        <v>3702002121</v>
      </c>
      <c r="J76" s="3">
        <f>IF(D76&lt;&gt;"",INDEX([1]机架!$C:$C,D76+3),0)</f>
        <v>3702002122</v>
      </c>
    </row>
    <row r="77" spans="1:10" ht="16.5" x14ac:dyDescent="0.2">
      <c r="A77" s="3" t="s">
        <v>393</v>
      </c>
      <c r="B77" s="3">
        <v>74</v>
      </c>
      <c r="C77" s="3">
        <f t="shared" si="5"/>
        <v>147</v>
      </c>
      <c r="D77" s="3">
        <f t="shared" si="6"/>
        <v>148</v>
      </c>
      <c r="E77" s="3" t="str">
        <f t="shared" si="4"/>
        <v>dump:3212002073&amp;1312002073</v>
      </c>
      <c r="F77" s="3" t="str">
        <f t="shared" si="7"/>
        <v>哑资源设备_74</v>
      </c>
      <c r="G77" s="10" t="s">
        <v>406</v>
      </c>
      <c r="H77" s="3" t="str">
        <f>"检测机架"&amp;INDEX([1]机架!$D:$D,C77+3)&amp;IF(D77&lt;&gt;"","和"&amp;INDEX([1]机架!$D:$D,D77+3),"")&amp;"的数据"</f>
        <v>检测机架青岛山东路の机架-6和青岛山东路の机架-7的数据</v>
      </c>
      <c r="I77" s="3">
        <f>INDEX([1]机架!$C:$C,C77+3)</f>
        <v>3702002123</v>
      </c>
      <c r="J77" s="3">
        <f>IF(D77&lt;&gt;"",INDEX([1]机架!$C:$C,D77+3),0)</f>
        <v>3702002131</v>
      </c>
    </row>
    <row r="78" spans="1:10" ht="16.5" x14ac:dyDescent="0.2">
      <c r="A78" s="3" t="s">
        <v>393</v>
      </c>
      <c r="B78" s="3">
        <v>75</v>
      </c>
      <c r="C78" s="3">
        <f t="shared" si="5"/>
        <v>149</v>
      </c>
      <c r="D78" s="3">
        <f t="shared" si="6"/>
        <v>150</v>
      </c>
      <c r="E78" s="3" t="str">
        <f t="shared" si="4"/>
        <v>dump:2312002073&amp;3312002073</v>
      </c>
      <c r="F78" s="3" t="str">
        <f t="shared" si="7"/>
        <v>哑资源设备_75</v>
      </c>
      <c r="G78" s="10" t="s">
        <v>406</v>
      </c>
      <c r="H78" s="3" t="str">
        <f>"检测机架"&amp;INDEX([1]机架!$D:$D,C78+3)&amp;IF(D78&lt;&gt;"","和"&amp;INDEX([1]机架!$D:$D,D78+3),"")&amp;"的数据"</f>
        <v>检测机架青岛山东路の机架-8和青岛山东路の机架-9的数据</v>
      </c>
      <c r="I78" s="3">
        <f>INDEX([1]机架!$C:$C,C78+3)</f>
        <v>3702002132</v>
      </c>
      <c r="J78" s="3">
        <f>IF(D78&lt;&gt;"",INDEX([1]机架!$C:$C,D78+3),0)</f>
        <v>3702002133</v>
      </c>
    </row>
    <row r="79" spans="1:10" ht="16.5" x14ac:dyDescent="0.2">
      <c r="A79" s="3" t="s">
        <v>393</v>
      </c>
      <c r="B79" s="3">
        <v>76</v>
      </c>
      <c r="C79" s="3">
        <f t="shared" si="5"/>
        <v>151</v>
      </c>
      <c r="D79" s="3">
        <f t="shared" si="6"/>
        <v>152</v>
      </c>
      <c r="E79" s="3" t="str">
        <f t="shared" si="4"/>
        <v>dump:1113002073&amp;2113002073</v>
      </c>
      <c r="F79" s="3" t="str">
        <f t="shared" si="7"/>
        <v>哑资源设备_76</v>
      </c>
      <c r="G79" s="10" t="s">
        <v>406</v>
      </c>
      <c r="H79" s="3" t="str">
        <f>"检测机架"&amp;INDEX([1]机架!$D:$D,C79+3)&amp;IF(D79&lt;&gt;"","和"&amp;INDEX([1]机架!$D:$D,D79+3),"")&amp;"的数据"</f>
        <v>检测机架青岛香江路の机架-1和青岛香江路の机架-2的数据</v>
      </c>
      <c r="I79" s="3">
        <f>INDEX([1]机架!$C:$C,C79+3)</f>
        <v>3702003111</v>
      </c>
      <c r="J79" s="3">
        <f>IF(D79&lt;&gt;"",INDEX([1]机架!$C:$C,D79+3),0)</f>
        <v>3702003112</v>
      </c>
    </row>
    <row r="80" spans="1:10" ht="16.5" x14ac:dyDescent="0.2">
      <c r="A80" s="3" t="s">
        <v>393</v>
      </c>
      <c r="B80" s="3">
        <v>77</v>
      </c>
      <c r="C80" s="3">
        <f t="shared" si="5"/>
        <v>153</v>
      </c>
      <c r="D80" s="3">
        <f t="shared" si="6"/>
        <v>154</v>
      </c>
      <c r="E80" s="3" t="str">
        <f t="shared" si="4"/>
        <v>dump:3113002073&amp;1213002073</v>
      </c>
      <c r="F80" s="3" t="str">
        <f t="shared" si="7"/>
        <v>哑资源设备_77</v>
      </c>
      <c r="G80" s="10" t="s">
        <v>406</v>
      </c>
      <c r="H80" s="3" t="str">
        <f>"检测机架"&amp;INDEX([1]机架!$D:$D,C80+3)&amp;IF(D80&lt;&gt;"","和"&amp;INDEX([1]机架!$D:$D,D80+3),"")&amp;"的数据"</f>
        <v>检测机架青岛香江路の机架-3和青岛香江路の机架-4的数据</v>
      </c>
      <c r="I80" s="3">
        <f>INDEX([1]机架!$C:$C,C80+3)</f>
        <v>3702003113</v>
      </c>
      <c r="J80" s="3">
        <f>IF(D80&lt;&gt;"",INDEX([1]机架!$C:$C,D80+3),0)</f>
        <v>3702003121</v>
      </c>
    </row>
    <row r="81" spans="1:10" ht="16.5" x14ac:dyDescent="0.2">
      <c r="A81" s="3" t="s">
        <v>393</v>
      </c>
      <c r="B81" s="3">
        <v>78</v>
      </c>
      <c r="C81" s="3">
        <f t="shared" si="5"/>
        <v>155</v>
      </c>
      <c r="D81" s="3">
        <f t="shared" si="6"/>
        <v>156</v>
      </c>
      <c r="E81" s="3" t="str">
        <f t="shared" si="4"/>
        <v>dump:2213002073&amp;3213002073</v>
      </c>
      <c r="F81" s="3" t="str">
        <f t="shared" si="7"/>
        <v>哑资源设备_78</v>
      </c>
      <c r="G81" s="10" t="s">
        <v>406</v>
      </c>
      <c r="H81" s="3" t="str">
        <f>"检测机架"&amp;INDEX([1]机架!$D:$D,C81+3)&amp;IF(D81&lt;&gt;"","和"&amp;INDEX([1]机架!$D:$D,D81+3),"")&amp;"的数据"</f>
        <v>检测机架青岛香江路の机架-5和青岛香江路の机架-6的数据</v>
      </c>
      <c r="I81" s="3">
        <f>INDEX([1]机架!$C:$C,C81+3)</f>
        <v>3702003122</v>
      </c>
      <c r="J81" s="3">
        <f>IF(D81&lt;&gt;"",INDEX([1]机架!$C:$C,D81+3),0)</f>
        <v>3702003123</v>
      </c>
    </row>
    <row r="82" spans="1:10" ht="16.5" x14ac:dyDescent="0.2">
      <c r="A82" s="3" t="s">
        <v>393</v>
      </c>
      <c r="B82" s="3">
        <v>79</v>
      </c>
      <c r="C82" s="3">
        <f t="shared" si="5"/>
        <v>157</v>
      </c>
      <c r="D82" s="3">
        <f t="shared" si="6"/>
        <v>158</v>
      </c>
      <c r="E82" s="3" t="str">
        <f t="shared" si="4"/>
        <v>dump:1313002073&amp;2313002073</v>
      </c>
      <c r="F82" s="3" t="str">
        <f t="shared" si="7"/>
        <v>哑资源设备_79</v>
      </c>
      <c r="G82" s="10" t="s">
        <v>406</v>
      </c>
      <c r="H82" s="3" t="str">
        <f>"检测机架"&amp;INDEX([1]机架!$D:$D,C82+3)&amp;IF(D82&lt;&gt;"","和"&amp;INDEX([1]机架!$D:$D,D82+3),"")&amp;"的数据"</f>
        <v>检测机架青岛香江路の机架-7和青岛香江路の机架-8的数据</v>
      </c>
      <c r="I82" s="3">
        <f>INDEX([1]机架!$C:$C,C82+3)</f>
        <v>3702003131</v>
      </c>
      <c r="J82" s="3">
        <f>IF(D82&lt;&gt;"",INDEX([1]机架!$C:$C,D82+3),0)</f>
        <v>3702003132</v>
      </c>
    </row>
    <row r="83" spans="1:10" ht="16.5" x14ac:dyDescent="0.2">
      <c r="A83" s="3" t="s">
        <v>393</v>
      </c>
      <c r="B83" s="3">
        <v>80</v>
      </c>
      <c r="C83" s="3">
        <f t="shared" si="5"/>
        <v>159</v>
      </c>
      <c r="D83" s="3">
        <f t="shared" si="6"/>
        <v>160</v>
      </c>
      <c r="E83" s="3" t="str">
        <f t="shared" si="4"/>
        <v>dump:3313002073&amp;1114002073</v>
      </c>
      <c r="F83" s="3" t="str">
        <f t="shared" si="7"/>
        <v>哑资源设备_80</v>
      </c>
      <c r="G83" s="10" t="s">
        <v>406</v>
      </c>
      <c r="H83" s="3" t="str">
        <f>"检测机架"&amp;INDEX([1]机架!$D:$D,C83+3)&amp;IF(D83&lt;&gt;"","和"&amp;INDEX([1]机架!$D:$D,D83+3),"")&amp;"的数据"</f>
        <v>检测机架青岛香江路の机架-9和青岛辽阳东路の机架-1的数据</v>
      </c>
      <c r="I83" s="3">
        <f>INDEX([1]机架!$C:$C,C83+3)</f>
        <v>3702003133</v>
      </c>
      <c r="J83" s="3">
        <f>IF(D83&lt;&gt;"",INDEX([1]机架!$C:$C,D83+3),0)</f>
        <v>3702004111</v>
      </c>
    </row>
    <row r="84" spans="1:10" ht="16.5" x14ac:dyDescent="0.2">
      <c r="A84" s="3" t="s">
        <v>393</v>
      </c>
      <c r="B84" s="3">
        <v>81</v>
      </c>
      <c r="C84" s="3">
        <f t="shared" si="5"/>
        <v>161</v>
      </c>
      <c r="D84" s="3">
        <f t="shared" si="6"/>
        <v>162</v>
      </c>
      <c r="E84" s="3" t="str">
        <f t="shared" si="4"/>
        <v>dump:2114002073&amp;3114002073</v>
      </c>
      <c r="F84" s="3" t="str">
        <f t="shared" si="7"/>
        <v>哑资源设备_81</v>
      </c>
      <c r="G84" s="10" t="s">
        <v>406</v>
      </c>
      <c r="H84" s="3" t="str">
        <f>"检测机架"&amp;INDEX([1]机架!$D:$D,C84+3)&amp;IF(D84&lt;&gt;"","和"&amp;INDEX([1]机架!$D:$D,D84+3),"")&amp;"的数据"</f>
        <v>检测机架青岛辽阳东路の机架-2和青岛辽阳东路の机架-3的数据</v>
      </c>
      <c r="I84" s="3">
        <f>INDEX([1]机架!$C:$C,C84+3)</f>
        <v>3702004112</v>
      </c>
      <c r="J84" s="3">
        <f>IF(D84&lt;&gt;"",INDEX([1]机架!$C:$C,D84+3),0)</f>
        <v>3702004113</v>
      </c>
    </row>
    <row r="85" spans="1:10" ht="16.5" x14ac:dyDescent="0.2">
      <c r="A85" s="3" t="s">
        <v>393</v>
      </c>
      <c r="B85" s="3">
        <v>82</v>
      </c>
      <c r="C85" s="3">
        <f t="shared" si="5"/>
        <v>163</v>
      </c>
      <c r="D85" s="3">
        <f t="shared" si="6"/>
        <v>164</v>
      </c>
      <c r="E85" s="3" t="str">
        <f t="shared" si="4"/>
        <v>dump:1214002073&amp;2214002073</v>
      </c>
      <c r="F85" s="3" t="str">
        <f t="shared" si="7"/>
        <v>哑资源设备_82</v>
      </c>
      <c r="G85" s="10" t="s">
        <v>406</v>
      </c>
      <c r="H85" s="3" t="str">
        <f>"检测机架"&amp;INDEX([1]机架!$D:$D,C85+3)&amp;IF(D85&lt;&gt;"","和"&amp;INDEX([1]机架!$D:$D,D85+3),"")&amp;"的数据"</f>
        <v>检测机架青岛辽阳东路の机架-4和青岛辽阳东路の机架-5的数据</v>
      </c>
      <c r="I85" s="3">
        <f>INDEX([1]机架!$C:$C,C85+3)</f>
        <v>3702004121</v>
      </c>
      <c r="J85" s="3">
        <f>IF(D85&lt;&gt;"",INDEX([1]机架!$C:$C,D85+3),0)</f>
        <v>3702004122</v>
      </c>
    </row>
    <row r="86" spans="1:10" ht="16.5" x14ac:dyDescent="0.2">
      <c r="A86" s="3" t="s">
        <v>393</v>
      </c>
      <c r="B86" s="3">
        <v>83</v>
      </c>
      <c r="C86" s="3">
        <f t="shared" si="5"/>
        <v>165</v>
      </c>
      <c r="D86" s="3">
        <f t="shared" si="6"/>
        <v>166</v>
      </c>
      <c r="E86" s="3" t="str">
        <f t="shared" si="4"/>
        <v>dump:3214002073&amp;1314002073</v>
      </c>
      <c r="F86" s="3" t="str">
        <f t="shared" si="7"/>
        <v>哑资源设备_83</v>
      </c>
      <c r="G86" s="10" t="s">
        <v>406</v>
      </c>
      <c r="H86" s="3" t="str">
        <f>"检测机架"&amp;INDEX([1]机架!$D:$D,C86+3)&amp;IF(D86&lt;&gt;"","和"&amp;INDEX([1]机架!$D:$D,D86+3),"")&amp;"的数据"</f>
        <v>检测机架青岛辽阳东路の机架-6和青岛辽阳东路の机架-7的数据</v>
      </c>
      <c r="I86" s="3">
        <f>INDEX([1]机架!$C:$C,C86+3)</f>
        <v>3702004123</v>
      </c>
      <c r="J86" s="3">
        <f>IF(D86&lt;&gt;"",INDEX([1]机架!$C:$C,D86+3),0)</f>
        <v>3702004131</v>
      </c>
    </row>
    <row r="87" spans="1:10" ht="16.5" x14ac:dyDescent="0.2">
      <c r="A87" s="3" t="s">
        <v>393</v>
      </c>
      <c r="B87" s="3">
        <v>84</v>
      </c>
      <c r="C87" s="3">
        <f t="shared" si="5"/>
        <v>167</v>
      </c>
      <c r="D87" s="3">
        <f t="shared" si="6"/>
        <v>168</v>
      </c>
      <c r="E87" s="3" t="str">
        <f t="shared" si="4"/>
        <v>dump:2314002073&amp;3314002073</v>
      </c>
      <c r="F87" s="3" t="str">
        <f t="shared" si="7"/>
        <v>哑资源设备_84</v>
      </c>
      <c r="G87" s="10" t="s">
        <v>406</v>
      </c>
      <c r="H87" s="3" t="str">
        <f>"检测机架"&amp;INDEX([1]机架!$D:$D,C87+3)&amp;IF(D87&lt;&gt;"","和"&amp;INDEX([1]机架!$D:$D,D87+3),"")&amp;"的数据"</f>
        <v>检测机架青岛辽阳东路の机架-8和青岛辽阳东路の机架-9的数据</v>
      </c>
      <c r="I87" s="3">
        <f>INDEX([1]机架!$C:$C,C87+3)</f>
        <v>3702004132</v>
      </c>
      <c r="J87" s="3">
        <f>IF(D87&lt;&gt;"",INDEX([1]机架!$C:$C,D87+3),0)</f>
        <v>3702004133</v>
      </c>
    </row>
    <row r="88" spans="1:10" ht="16.5" x14ac:dyDescent="0.2">
      <c r="A88" s="3" t="s">
        <v>393</v>
      </c>
      <c r="B88" s="3">
        <v>85</v>
      </c>
      <c r="C88" s="3">
        <f t="shared" si="5"/>
        <v>169</v>
      </c>
      <c r="D88" s="3">
        <f t="shared" si="6"/>
        <v>170</v>
      </c>
      <c r="E88" s="3" t="str">
        <f t="shared" si="4"/>
        <v>dump:1115002073&amp;2115002073</v>
      </c>
      <c r="F88" s="3" t="str">
        <f t="shared" si="7"/>
        <v>哑资源设备_85</v>
      </c>
      <c r="G88" s="10" t="s">
        <v>406</v>
      </c>
      <c r="H88" s="3" t="str">
        <f>"检测机架"&amp;INDEX([1]机架!$D:$D,C88+3)&amp;IF(D88&lt;&gt;"","和"&amp;INDEX([1]机架!$D:$D,D88+3),"")&amp;"的数据"</f>
        <v>检测机架胶州马店の机架-1和胶州马店の机架-2的数据</v>
      </c>
      <c r="I88" s="3">
        <f>INDEX([1]机架!$C:$C,C88+3)</f>
        <v>3702005111</v>
      </c>
      <c r="J88" s="3">
        <f>IF(D88&lt;&gt;"",INDEX([1]机架!$C:$C,D88+3),0)</f>
        <v>3702005112</v>
      </c>
    </row>
    <row r="89" spans="1:10" ht="16.5" x14ac:dyDescent="0.2">
      <c r="A89" s="3" t="s">
        <v>393</v>
      </c>
      <c r="B89" s="3">
        <v>86</v>
      </c>
      <c r="C89" s="3">
        <f t="shared" si="5"/>
        <v>171</v>
      </c>
      <c r="D89" s="3">
        <f t="shared" si="6"/>
        <v>172</v>
      </c>
      <c r="E89" s="3" t="str">
        <f t="shared" si="4"/>
        <v>dump:3115002073&amp;1215002073</v>
      </c>
      <c r="F89" s="3" t="str">
        <f t="shared" si="7"/>
        <v>哑资源设备_86</v>
      </c>
      <c r="G89" s="10" t="s">
        <v>406</v>
      </c>
      <c r="H89" s="3" t="str">
        <f>"检测机架"&amp;INDEX([1]机架!$D:$D,C89+3)&amp;IF(D89&lt;&gt;"","和"&amp;INDEX([1]机架!$D:$D,D89+3),"")&amp;"的数据"</f>
        <v>检测机架胶州马店の机架-3和胶州马店の机架-4的数据</v>
      </c>
      <c r="I89" s="3">
        <f>INDEX([1]机架!$C:$C,C89+3)</f>
        <v>3702005113</v>
      </c>
      <c r="J89" s="3">
        <f>IF(D89&lt;&gt;"",INDEX([1]机架!$C:$C,D89+3),0)</f>
        <v>3702005121</v>
      </c>
    </row>
    <row r="90" spans="1:10" ht="16.5" x14ac:dyDescent="0.2">
      <c r="A90" s="3" t="s">
        <v>393</v>
      </c>
      <c r="B90" s="3">
        <v>87</v>
      </c>
      <c r="C90" s="3">
        <f t="shared" si="5"/>
        <v>173</v>
      </c>
      <c r="D90" s="3">
        <f t="shared" si="6"/>
        <v>174</v>
      </c>
      <c r="E90" s="3" t="str">
        <f t="shared" si="4"/>
        <v>dump:2215002073&amp;3215002073</v>
      </c>
      <c r="F90" s="3" t="str">
        <f t="shared" si="7"/>
        <v>哑资源设备_87</v>
      </c>
      <c r="G90" s="10" t="s">
        <v>406</v>
      </c>
      <c r="H90" s="3" t="str">
        <f>"检测机架"&amp;INDEX([1]机架!$D:$D,C90+3)&amp;IF(D90&lt;&gt;"","和"&amp;INDEX([1]机架!$D:$D,D90+3),"")&amp;"的数据"</f>
        <v>检测机架胶州马店の机架-5和胶州马店の机架-6的数据</v>
      </c>
      <c r="I90" s="3">
        <f>INDEX([1]机架!$C:$C,C90+3)</f>
        <v>3702005122</v>
      </c>
      <c r="J90" s="3">
        <f>IF(D90&lt;&gt;"",INDEX([1]机架!$C:$C,D90+3),0)</f>
        <v>3702005123</v>
      </c>
    </row>
    <row r="91" spans="1:10" ht="16.5" x14ac:dyDescent="0.2">
      <c r="A91" s="3" t="s">
        <v>393</v>
      </c>
      <c r="B91" s="3">
        <v>88</v>
      </c>
      <c r="C91" s="3">
        <f t="shared" si="5"/>
        <v>175</v>
      </c>
      <c r="D91" s="3">
        <f t="shared" si="6"/>
        <v>176</v>
      </c>
      <c r="E91" s="3" t="str">
        <f t="shared" si="4"/>
        <v>dump:1315002073&amp;2315002073</v>
      </c>
      <c r="F91" s="3" t="str">
        <f t="shared" si="7"/>
        <v>哑资源设备_88</v>
      </c>
      <c r="G91" s="10" t="s">
        <v>406</v>
      </c>
      <c r="H91" s="3" t="str">
        <f>"检测机架"&amp;INDEX([1]机架!$D:$D,C91+3)&amp;IF(D91&lt;&gt;"","和"&amp;INDEX([1]机架!$D:$D,D91+3),"")&amp;"的数据"</f>
        <v>检测机架胶州马店の机架-7和胶州马店の机架-8的数据</v>
      </c>
      <c r="I91" s="3">
        <f>INDEX([1]机架!$C:$C,C91+3)</f>
        <v>3702005131</v>
      </c>
      <c r="J91" s="3">
        <f>IF(D91&lt;&gt;"",INDEX([1]机架!$C:$C,D91+3),0)</f>
        <v>3702005132</v>
      </c>
    </row>
    <row r="92" spans="1:10" ht="16.5" x14ac:dyDescent="0.2">
      <c r="A92" s="3" t="s">
        <v>393</v>
      </c>
      <c r="B92" s="3">
        <v>89</v>
      </c>
      <c r="C92" s="3">
        <f t="shared" si="5"/>
        <v>177</v>
      </c>
      <c r="D92" s="3">
        <f t="shared" si="6"/>
        <v>178</v>
      </c>
      <c r="E92" s="3" t="str">
        <f t="shared" si="4"/>
        <v>dump:3315002073&amp;1116002073</v>
      </c>
      <c r="F92" s="3" t="str">
        <f t="shared" si="7"/>
        <v>哑资源设备_89</v>
      </c>
      <c r="G92" s="10" t="s">
        <v>406</v>
      </c>
      <c r="H92" s="3" t="str">
        <f>"检测机架"&amp;INDEX([1]机架!$D:$D,C92+3)&amp;IF(D92&lt;&gt;"","和"&amp;INDEX([1]机架!$D:$D,D92+3),"")&amp;"的数据"</f>
        <v>检测机架胶州马店の机架-9和胶州营房の机架-1的数据</v>
      </c>
      <c r="I92" s="3">
        <f>INDEX([1]机架!$C:$C,C92+3)</f>
        <v>3702005133</v>
      </c>
      <c r="J92" s="3">
        <f>IF(D92&lt;&gt;"",INDEX([1]机架!$C:$C,D92+3),0)</f>
        <v>3702006111</v>
      </c>
    </row>
    <row r="93" spans="1:10" ht="16.5" x14ac:dyDescent="0.2">
      <c r="A93" s="3" t="s">
        <v>393</v>
      </c>
      <c r="B93" s="3">
        <v>90</v>
      </c>
      <c r="C93" s="3">
        <f t="shared" si="5"/>
        <v>179</v>
      </c>
      <c r="D93" s="3">
        <f t="shared" si="6"/>
        <v>180</v>
      </c>
      <c r="E93" s="3" t="str">
        <f t="shared" si="4"/>
        <v>dump:2116002073&amp;3116002073</v>
      </c>
      <c r="F93" s="3" t="str">
        <f t="shared" si="7"/>
        <v>哑资源设备_90</v>
      </c>
      <c r="G93" s="10" t="s">
        <v>406</v>
      </c>
      <c r="H93" s="3" t="str">
        <f>"检测机架"&amp;INDEX([1]机架!$D:$D,C93+3)&amp;IF(D93&lt;&gt;"","和"&amp;INDEX([1]机架!$D:$D,D93+3),"")&amp;"的数据"</f>
        <v>检测机架胶州营房の机架-2和胶州营房の机架-3的数据</v>
      </c>
      <c r="I93" s="3">
        <f>INDEX([1]机架!$C:$C,C93+3)</f>
        <v>3702006112</v>
      </c>
      <c r="J93" s="3">
        <f>IF(D93&lt;&gt;"",INDEX([1]机架!$C:$C,D93+3),0)</f>
        <v>3702006113</v>
      </c>
    </row>
    <row r="94" spans="1:10" ht="16.5" x14ac:dyDescent="0.2">
      <c r="A94" s="3" t="s">
        <v>393</v>
      </c>
      <c r="B94" s="3">
        <v>91</v>
      </c>
      <c r="C94" s="3">
        <f t="shared" si="5"/>
        <v>181</v>
      </c>
      <c r="D94" s="3">
        <f t="shared" si="6"/>
        <v>182</v>
      </c>
      <c r="E94" s="3" t="str">
        <f t="shared" si="4"/>
        <v>dump:1216002073&amp;2216002073</v>
      </c>
      <c r="F94" s="3" t="str">
        <f t="shared" si="7"/>
        <v>哑资源设备_91</v>
      </c>
      <c r="G94" s="10" t="s">
        <v>406</v>
      </c>
      <c r="H94" s="3" t="str">
        <f>"检测机架"&amp;INDEX([1]机架!$D:$D,C94+3)&amp;IF(D94&lt;&gt;"","和"&amp;INDEX([1]机架!$D:$D,D94+3),"")&amp;"的数据"</f>
        <v>检测机架胶州营房の机架-4和胶州营房の机架-5的数据</v>
      </c>
      <c r="I94" s="3">
        <f>INDEX([1]机架!$C:$C,C94+3)</f>
        <v>3702006121</v>
      </c>
      <c r="J94" s="3">
        <f>IF(D94&lt;&gt;"",INDEX([1]机架!$C:$C,D94+3),0)</f>
        <v>3702006122</v>
      </c>
    </row>
    <row r="95" spans="1:10" ht="16.5" x14ac:dyDescent="0.2">
      <c r="A95" s="3" t="s">
        <v>393</v>
      </c>
      <c r="B95" s="3">
        <v>92</v>
      </c>
      <c r="C95" s="3">
        <f t="shared" si="5"/>
        <v>183</v>
      </c>
      <c r="D95" s="3">
        <f t="shared" si="6"/>
        <v>184</v>
      </c>
      <c r="E95" s="3" t="str">
        <f t="shared" si="4"/>
        <v>dump:3216002073&amp;1316002073</v>
      </c>
      <c r="F95" s="3" t="str">
        <f t="shared" si="7"/>
        <v>哑资源设备_92</v>
      </c>
      <c r="G95" s="10" t="s">
        <v>406</v>
      </c>
      <c r="H95" s="3" t="str">
        <f>"检测机架"&amp;INDEX([1]机架!$D:$D,C95+3)&amp;IF(D95&lt;&gt;"","和"&amp;INDEX([1]机架!$D:$D,D95+3),"")&amp;"的数据"</f>
        <v>检测机架胶州营房の机架-6和胶州营房の机架-7的数据</v>
      </c>
      <c r="I95" s="3">
        <f>INDEX([1]机架!$C:$C,C95+3)</f>
        <v>3702006123</v>
      </c>
      <c r="J95" s="3">
        <f>IF(D95&lt;&gt;"",INDEX([1]机架!$C:$C,D95+3),0)</f>
        <v>3702006131</v>
      </c>
    </row>
    <row r="96" spans="1:10" ht="16.5" x14ac:dyDescent="0.2">
      <c r="A96" s="3" t="s">
        <v>393</v>
      </c>
      <c r="B96" s="3">
        <v>93</v>
      </c>
      <c r="C96" s="3">
        <f t="shared" si="5"/>
        <v>185</v>
      </c>
      <c r="D96" s="3">
        <f t="shared" si="6"/>
        <v>186</v>
      </c>
      <c r="E96" s="3" t="str">
        <f t="shared" si="4"/>
        <v>dump:2316002073&amp;3316002073</v>
      </c>
      <c r="F96" s="3" t="str">
        <f t="shared" si="7"/>
        <v>哑资源设备_93</v>
      </c>
      <c r="G96" s="10" t="s">
        <v>406</v>
      </c>
      <c r="H96" s="3" t="str">
        <f>"检测机架"&amp;INDEX([1]机架!$D:$D,C96+3)&amp;IF(D96&lt;&gt;"","和"&amp;INDEX([1]机架!$D:$D,D96+3),"")&amp;"的数据"</f>
        <v>检测机架胶州营房の机架-8和胶州营房の机架-9的数据</v>
      </c>
      <c r="I96" s="3">
        <f>INDEX([1]机架!$C:$C,C96+3)</f>
        <v>3702006132</v>
      </c>
      <c r="J96" s="3">
        <f>IF(D96&lt;&gt;"",INDEX([1]机架!$C:$C,D96+3),0)</f>
        <v>3702006133</v>
      </c>
    </row>
    <row r="97" spans="1:10" ht="16.5" x14ac:dyDescent="0.2">
      <c r="A97" s="3" t="s">
        <v>393</v>
      </c>
      <c r="B97" s="3">
        <v>94</v>
      </c>
      <c r="C97" s="3">
        <f t="shared" si="5"/>
        <v>187</v>
      </c>
      <c r="D97" s="3">
        <f t="shared" si="6"/>
        <v>188</v>
      </c>
      <c r="E97" s="3" t="str">
        <f t="shared" si="4"/>
        <v>dump:1117002073&amp;2117002073</v>
      </c>
      <c r="F97" s="3" t="str">
        <f t="shared" si="7"/>
        <v>哑资源设备_94</v>
      </c>
      <c r="G97" s="10" t="s">
        <v>406</v>
      </c>
      <c r="H97" s="3" t="str">
        <f>"检测机架"&amp;INDEX([1]机架!$D:$D,C97+3)&amp;IF(D97&lt;&gt;"","和"&amp;INDEX([1]机架!$D:$D,D97+3),"")&amp;"的数据"</f>
        <v>检测机架胶州九龙の机架-1和胶州九龙の机架-2的数据</v>
      </c>
      <c r="I97" s="3">
        <f>INDEX([1]机架!$C:$C,C97+3)</f>
        <v>3702007111</v>
      </c>
      <c r="J97" s="3">
        <f>IF(D97&lt;&gt;"",INDEX([1]机架!$C:$C,D97+3),0)</f>
        <v>3702007112</v>
      </c>
    </row>
    <row r="98" spans="1:10" ht="16.5" x14ac:dyDescent="0.2">
      <c r="A98" s="3" t="s">
        <v>393</v>
      </c>
      <c r="B98" s="3">
        <v>95</v>
      </c>
      <c r="C98" s="3">
        <f t="shared" si="5"/>
        <v>189</v>
      </c>
      <c r="D98" s="3">
        <f t="shared" si="6"/>
        <v>190</v>
      </c>
      <c r="E98" s="3" t="str">
        <f t="shared" si="4"/>
        <v>dump:3117002073&amp;1217002073</v>
      </c>
      <c r="F98" s="3" t="str">
        <f t="shared" si="7"/>
        <v>哑资源设备_95</v>
      </c>
      <c r="G98" s="10" t="s">
        <v>406</v>
      </c>
      <c r="H98" s="3" t="str">
        <f>"检测机架"&amp;INDEX([1]机架!$D:$D,C98+3)&amp;IF(D98&lt;&gt;"","和"&amp;INDEX([1]机架!$D:$D,D98+3),"")&amp;"的数据"</f>
        <v>检测机架胶州九龙の机架-3和胶州九龙の机架-4的数据</v>
      </c>
      <c r="I98" s="3">
        <f>INDEX([1]机架!$C:$C,C98+3)</f>
        <v>3702007113</v>
      </c>
      <c r="J98" s="3">
        <f>IF(D98&lt;&gt;"",INDEX([1]机架!$C:$C,D98+3),0)</f>
        <v>3702007121</v>
      </c>
    </row>
    <row r="99" spans="1:10" ht="16.5" x14ac:dyDescent="0.2">
      <c r="A99" s="3" t="s">
        <v>393</v>
      </c>
      <c r="B99" s="3">
        <v>96</v>
      </c>
      <c r="C99" s="3">
        <f t="shared" si="5"/>
        <v>191</v>
      </c>
      <c r="D99" s="3">
        <f t="shared" si="6"/>
        <v>192</v>
      </c>
      <c r="E99" s="3" t="str">
        <f t="shared" si="4"/>
        <v>dump:2217002073&amp;3217002073</v>
      </c>
      <c r="F99" s="3" t="str">
        <f t="shared" si="7"/>
        <v>哑资源设备_96</v>
      </c>
      <c r="G99" s="10" t="s">
        <v>406</v>
      </c>
      <c r="H99" s="3" t="str">
        <f>"检测机架"&amp;INDEX([1]机架!$D:$D,C99+3)&amp;IF(D99&lt;&gt;"","和"&amp;INDEX([1]机架!$D:$D,D99+3),"")&amp;"的数据"</f>
        <v>检测机架胶州九龙の机架-5和胶州九龙の机架-6的数据</v>
      </c>
      <c r="I99" s="3">
        <f>INDEX([1]机架!$C:$C,C99+3)</f>
        <v>3702007122</v>
      </c>
      <c r="J99" s="3">
        <f>IF(D99&lt;&gt;"",INDEX([1]机架!$C:$C,D99+3),0)</f>
        <v>3702007123</v>
      </c>
    </row>
    <row r="100" spans="1:10" ht="16.5" x14ac:dyDescent="0.2">
      <c r="A100" s="3" t="s">
        <v>393</v>
      </c>
      <c r="B100" s="3">
        <v>97</v>
      </c>
      <c r="C100" s="3">
        <f t="shared" si="5"/>
        <v>193</v>
      </c>
      <c r="D100" s="3">
        <f t="shared" si="6"/>
        <v>194</v>
      </c>
      <c r="E100" s="3" t="str">
        <f t="shared" si="4"/>
        <v>dump:1317002073&amp;2317002073</v>
      </c>
      <c r="F100" s="3" t="str">
        <f t="shared" si="7"/>
        <v>哑资源设备_97</v>
      </c>
      <c r="G100" s="10" t="s">
        <v>406</v>
      </c>
      <c r="H100" s="3" t="str">
        <f>"检测机架"&amp;INDEX([1]机架!$D:$D,C100+3)&amp;IF(D100&lt;&gt;"","和"&amp;INDEX([1]机架!$D:$D,D100+3),"")&amp;"的数据"</f>
        <v>检测机架胶州九龙の机架-7和胶州九龙の机架-8的数据</v>
      </c>
      <c r="I100" s="3">
        <f>INDEX([1]机架!$C:$C,C100+3)</f>
        <v>3702007131</v>
      </c>
      <c r="J100" s="3">
        <f>IF(D100&lt;&gt;"",INDEX([1]机架!$C:$C,D100+3),0)</f>
        <v>3702007132</v>
      </c>
    </row>
    <row r="101" spans="1:10" ht="16.5" x14ac:dyDescent="0.2">
      <c r="A101" s="3" t="s">
        <v>393</v>
      </c>
      <c r="B101" s="3">
        <v>98</v>
      </c>
      <c r="C101" s="3">
        <f t="shared" si="5"/>
        <v>195</v>
      </c>
      <c r="D101" s="3">
        <f t="shared" si="6"/>
        <v>196</v>
      </c>
      <c r="E101" s="3" t="str">
        <f t="shared" si="4"/>
        <v>dump:3317002073&amp;1118002073</v>
      </c>
      <c r="F101" s="3" t="str">
        <f t="shared" si="7"/>
        <v>哑资源设备_98</v>
      </c>
      <c r="G101" s="10" t="s">
        <v>406</v>
      </c>
      <c r="H101" s="3" t="str">
        <f>"检测机架"&amp;INDEX([1]机架!$D:$D,C101+3)&amp;IF(D101&lt;&gt;"","和"&amp;INDEX([1]机架!$D:$D,D101+3),"")&amp;"的数据"</f>
        <v>检测机架胶州九龙の机架-9和城阳の机架-1的数据</v>
      </c>
      <c r="I101" s="3">
        <f>INDEX([1]机架!$C:$C,C101+3)</f>
        <v>3702007133</v>
      </c>
      <c r="J101" s="3">
        <f>IF(D101&lt;&gt;"",INDEX([1]机架!$C:$C,D101+3),0)</f>
        <v>3702008111</v>
      </c>
    </row>
    <row r="102" spans="1:10" ht="16.5" x14ac:dyDescent="0.2">
      <c r="A102" s="3" t="s">
        <v>393</v>
      </c>
      <c r="B102" s="3">
        <v>99</v>
      </c>
      <c r="C102" s="3">
        <f t="shared" si="5"/>
        <v>197</v>
      </c>
      <c r="D102" s="3">
        <f t="shared" si="6"/>
        <v>198</v>
      </c>
      <c r="E102" s="3" t="str">
        <f t="shared" si="4"/>
        <v>dump:2118002073&amp;3118002073</v>
      </c>
      <c r="F102" s="3" t="str">
        <f t="shared" si="7"/>
        <v>哑资源设备_99</v>
      </c>
      <c r="G102" s="10" t="s">
        <v>406</v>
      </c>
      <c r="H102" s="3" t="str">
        <f>"检测机架"&amp;INDEX([1]机架!$D:$D,C102+3)&amp;IF(D102&lt;&gt;"","和"&amp;INDEX([1]机架!$D:$D,D102+3),"")&amp;"的数据"</f>
        <v>检测机架城阳の机架-2和城阳の机架-3的数据</v>
      </c>
      <c r="I102" s="3">
        <f>INDEX([1]机架!$C:$C,C102+3)</f>
        <v>3702008112</v>
      </c>
      <c r="J102" s="3">
        <f>IF(D102&lt;&gt;"",INDEX([1]机架!$C:$C,D102+3),0)</f>
        <v>3702008113</v>
      </c>
    </row>
    <row r="103" spans="1:10" ht="16.5" x14ac:dyDescent="0.2">
      <c r="A103" s="3" t="s">
        <v>393</v>
      </c>
      <c r="B103" s="3">
        <v>100</v>
      </c>
      <c r="C103" s="3">
        <f t="shared" si="5"/>
        <v>199</v>
      </c>
      <c r="D103" s="3">
        <f t="shared" si="6"/>
        <v>200</v>
      </c>
      <c r="E103" s="3" t="str">
        <f t="shared" si="4"/>
        <v>dump:1218002073&amp;2218002073</v>
      </c>
      <c r="F103" s="3" t="str">
        <f t="shared" si="7"/>
        <v>哑资源设备_100</v>
      </c>
      <c r="G103" s="10" t="s">
        <v>406</v>
      </c>
      <c r="H103" s="3" t="str">
        <f>"检测机架"&amp;INDEX([1]机架!$D:$D,C103+3)&amp;IF(D103&lt;&gt;"","和"&amp;INDEX([1]机架!$D:$D,D103+3),"")&amp;"的数据"</f>
        <v>检测机架城阳の机架-4和城阳の机架-5的数据</v>
      </c>
      <c r="I103" s="3">
        <f>INDEX([1]机架!$C:$C,C103+3)</f>
        <v>3702008121</v>
      </c>
      <c r="J103" s="3">
        <f>IF(D103&lt;&gt;"",INDEX([1]机架!$C:$C,D103+3),0)</f>
        <v>3702008122</v>
      </c>
    </row>
    <row r="104" spans="1:10" ht="16.5" x14ac:dyDescent="0.2">
      <c r="A104" s="3" t="s">
        <v>393</v>
      </c>
      <c r="B104" s="3">
        <v>101</v>
      </c>
      <c r="C104" s="3">
        <f t="shared" si="5"/>
        <v>201</v>
      </c>
      <c r="D104" s="3">
        <f t="shared" si="6"/>
        <v>202</v>
      </c>
      <c r="E104" s="3" t="str">
        <f t="shared" si="4"/>
        <v>dump:3218002073&amp;1318002073</v>
      </c>
      <c r="F104" s="3" t="str">
        <f t="shared" si="7"/>
        <v>哑资源设备_101</v>
      </c>
      <c r="G104" s="10" t="s">
        <v>406</v>
      </c>
      <c r="H104" s="3" t="str">
        <f>"检测机架"&amp;INDEX([1]机架!$D:$D,C104+3)&amp;IF(D104&lt;&gt;"","和"&amp;INDEX([1]机架!$D:$D,D104+3),"")&amp;"的数据"</f>
        <v>检测机架城阳の机架-6和城阳の机架-7的数据</v>
      </c>
      <c r="I104" s="3">
        <f>INDEX([1]机架!$C:$C,C104+3)</f>
        <v>3702008123</v>
      </c>
      <c r="J104" s="3">
        <f>IF(D104&lt;&gt;"",INDEX([1]机架!$C:$C,D104+3),0)</f>
        <v>3702008131</v>
      </c>
    </row>
    <row r="105" spans="1:10" ht="16.5" x14ac:dyDescent="0.2">
      <c r="A105" s="3" t="s">
        <v>393</v>
      </c>
      <c r="B105" s="3">
        <v>102</v>
      </c>
      <c r="C105" s="3">
        <f t="shared" si="5"/>
        <v>203</v>
      </c>
      <c r="D105" s="3">
        <f t="shared" si="6"/>
        <v>204</v>
      </c>
      <c r="E105" s="3" t="str">
        <f t="shared" si="4"/>
        <v>dump:2318002073&amp;3318002073</v>
      </c>
      <c r="F105" s="3" t="str">
        <f t="shared" si="7"/>
        <v>哑资源设备_102</v>
      </c>
      <c r="G105" s="10" t="s">
        <v>406</v>
      </c>
      <c r="H105" s="3" t="str">
        <f>"检测机架"&amp;INDEX([1]机架!$D:$D,C105+3)&amp;IF(D105&lt;&gt;"","和"&amp;INDEX([1]机架!$D:$D,D105+3),"")&amp;"的数据"</f>
        <v>检测机架城阳の机架-8和城阳の机架-9的数据</v>
      </c>
      <c r="I105" s="3">
        <f>INDEX([1]机架!$C:$C,C105+3)</f>
        <v>3702008132</v>
      </c>
      <c r="J105" s="3">
        <f>IF(D105&lt;&gt;"",INDEX([1]机架!$C:$C,D105+3),0)</f>
        <v>3702008133</v>
      </c>
    </row>
    <row r="106" spans="1:10" ht="16.5" x14ac:dyDescent="0.2">
      <c r="A106" s="3" t="s">
        <v>393</v>
      </c>
      <c r="B106" s="3">
        <v>103</v>
      </c>
      <c r="C106" s="3">
        <f t="shared" si="5"/>
        <v>205</v>
      </c>
      <c r="D106" s="3">
        <f t="shared" si="6"/>
        <v>206</v>
      </c>
      <c r="E106" s="3" t="str">
        <f t="shared" si="4"/>
        <v>dump:1119002073&amp;2119002073</v>
      </c>
      <c r="F106" s="3" t="str">
        <f t="shared" si="7"/>
        <v>哑资源设备_103</v>
      </c>
      <c r="G106" s="10" t="s">
        <v>406</v>
      </c>
      <c r="H106" s="3" t="str">
        <f>"检测机架"&amp;INDEX([1]机架!$D:$D,C106+3)&amp;IF(D106&lt;&gt;"","和"&amp;INDEX([1]机架!$D:$D,D106+3),"")&amp;"的数据"</f>
        <v>检测机架即墨南泉の机架-1和即墨南泉の机架-2的数据</v>
      </c>
      <c r="I106" s="3">
        <f>INDEX([1]机架!$C:$C,C106+3)</f>
        <v>3702009111</v>
      </c>
      <c r="J106" s="3">
        <f>IF(D106&lt;&gt;"",INDEX([1]机架!$C:$C,D106+3),0)</f>
        <v>3702009112</v>
      </c>
    </row>
    <row r="107" spans="1:10" ht="16.5" x14ac:dyDescent="0.2">
      <c r="A107" s="3" t="s">
        <v>393</v>
      </c>
      <c r="B107" s="3">
        <v>104</v>
      </c>
      <c r="C107" s="3">
        <f t="shared" si="5"/>
        <v>207</v>
      </c>
      <c r="D107" s="3">
        <f t="shared" si="6"/>
        <v>208</v>
      </c>
      <c r="E107" s="3" t="str">
        <f t="shared" si="4"/>
        <v>dump:3119002073&amp;1219002073</v>
      </c>
      <c r="F107" s="3" t="str">
        <f t="shared" si="7"/>
        <v>哑资源设备_104</v>
      </c>
      <c r="G107" s="10" t="s">
        <v>406</v>
      </c>
      <c r="H107" s="3" t="str">
        <f>"检测机架"&amp;INDEX([1]机架!$D:$D,C107+3)&amp;IF(D107&lt;&gt;"","和"&amp;INDEX([1]机架!$D:$D,D107+3),"")&amp;"的数据"</f>
        <v>检测机架即墨南泉の机架-3和即墨南泉の机架-4的数据</v>
      </c>
      <c r="I107" s="3">
        <f>INDEX([1]机架!$C:$C,C107+3)</f>
        <v>3702009113</v>
      </c>
      <c r="J107" s="3">
        <f>IF(D107&lt;&gt;"",INDEX([1]机架!$C:$C,D107+3),0)</f>
        <v>3702009121</v>
      </c>
    </row>
    <row r="108" spans="1:10" ht="16.5" x14ac:dyDescent="0.2">
      <c r="A108" s="3" t="s">
        <v>393</v>
      </c>
      <c r="B108" s="3">
        <v>105</v>
      </c>
      <c r="C108" s="3">
        <f t="shared" si="5"/>
        <v>209</v>
      </c>
      <c r="D108" s="3">
        <f t="shared" si="6"/>
        <v>210</v>
      </c>
      <c r="E108" s="3" t="str">
        <f t="shared" si="4"/>
        <v>dump:2219002073&amp;3219002073</v>
      </c>
      <c r="F108" s="3" t="str">
        <f t="shared" si="7"/>
        <v>哑资源设备_105</v>
      </c>
      <c r="G108" s="10" t="s">
        <v>406</v>
      </c>
      <c r="H108" s="3" t="str">
        <f>"检测机架"&amp;INDEX([1]机架!$D:$D,C108+3)&amp;IF(D108&lt;&gt;"","和"&amp;INDEX([1]机架!$D:$D,D108+3),"")&amp;"的数据"</f>
        <v>检测机架即墨南泉の机架-5和即墨南泉の机架-6的数据</v>
      </c>
      <c r="I108" s="3">
        <f>INDEX([1]机架!$C:$C,C108+3)</f>
        <v>3702009122</v>
      </c>
      <c r="J108" s="3">
        <f>IF(D108&lt;&gt;"",INDEX([1]机架!$C:$C,D108+3),0)</f>
        <v>3702009123</v>
      </c>
    </row>
    <row r="109" spans="1:10" ht="16.5" x14ac:dyDescent="0.2">
      <c r="A109" s="3" t="s">
        <v>393</v>
      </c>
      <c r="B109" s="3">
        <v>106</v>
      </c>
      <c r="C109" s="3">
        <f t="shared" si="5"/>
        <v>211</v>
      </c>
      <c r="D109" s="3">
        <f t="shared" si="6"/>
        <v>212</v>
      </c>
      <c r="E109" s="3" t="str">
        <f t="shared" si="4"/>
        <v>dump:1319002073&amp;2319002073</v>
      </c>
      <c r="F109" s="3" t="str">
        <f t="shared" si="7"/>
        <v>哑资源设备_106</v>
      </c>
      <c r="G109" s="10" t="s">
        <v>406</v>
      </c>
      <c r="H109" s="3" t="str">
        <f>"检测机架"&amp;INDEX([1]机架!$D:$D,C109+3)&amp;IF(D109&lt;&gt;"","和"&amp;INDEX([1]机架!$D:$D,D109+3),"")&amp;"的数据"</f>
        <v>检测机架即墨南泉の机架-7和即墨南泉の机架-8的数据</v>
      </c>
      <c r="I109" s="3">
        <f>INDEX([1]机架!$C:$C,C109+3)</f>
        <v>3702009131</v>
      </c>
      <c r="J109" s="3">
        <f>IF(D109&lt;&gt;"",INDEX([1]机架!$C:$C,D109+3),0)</f>
        <v>3702009132</v>
      </c>
    </row>
    <row r="110" spans="1:10" ht="16.5" x14ac:dyDescent="0.2">
      <c r="A110" s="3" t="s">
        <v>393</v>
      </c>
      <c r="B110" s="3">
        <v>107</v>
      </c>
      <c r="C110" s="3">
        <f t="shared" si="5"/>
        <v>213</v>
      </c>
      <c r="D110" s="3">
        <f t="shared" si="6"/>
        <v>214</v>
      </c>
      <c r="E110" s="3" t="str">
        <f t="shared" si="4"/>
        <v>dump:3319002073&amp;1110102073</v>
      </c>
      <c r="F110" s="3" t="str">
        <f t="shared" si="7"/>
        <v>哑资源设备_107</v>
      </c>
      <c r="G110" s="10" t="s">
        <v>406</v>
      </c>
      <c r="H110" s="3" t="str">
        <f>"检测机架"&amp;INDEX([1]机架!$D:$D,C110+3)&amp;IF(D110&lt;&gt;"","和"&amp;INDEX([1]机架!$D:$D,D110+3),"")&amp;"的数据"</f>
        <v>检测机架即墨南泉の机架-9和即墨蓝村の机架-1的数据</v>
      </c>
      <c r="I110" s="3">
        <f>INDEX([1]机架!$C:$C,C110+3)</f>
        <v>3702009133</v>
      </c>
      <c r="J110" s="3">
        <f>IF(D110&lt;&gt;"",INDEX([1]机架!$C:$C,D110+3),0)</f>
        <v>3702010111</v>
      </c>
    </row>
    <row r="111" spans="1:10" ht="16.5" x14ac:dyDescent="0.2">
      <c r="A111" s="3" t="s">
        <v>393</v>
      </c>
      <c r="B111" s="3">
        <v>108</v>
      </c>
      <c r="C111" s="3">
        <f t="shared" si="5"/>
        <v>215</v>
      </c>
      <c r="D111" s="3">
        <f t="shared" si="6"/>
        <v>216</v>
      </c>
      <c r="E111" s="3" t="str">
        <f t="shared" si="4"/>
        <v>dump:2110102073&amp;3110102073</v>
      </c>
      <c r="F111" s="3" t="str">
        <f t="shared" si="7"/>
        <v>哑资源设备_108</v>
      </c>
      <c r="G111" s="10" t="s">
        <v>406</v>
      </c>
      <c r="H111" s="3" t="str">
        <f>"检测机架"&amp;INDEX([1]机架!$D:$D,C111+3)&amp;IF(D111&lt;&gt;"","和"&amp;INDEX([1]机架!$D:$D,D111+3),"")&amp;"的数据"</f>
        <v>检测机架即墨蓝村の机架-2和即墨蓝村の机架-3的数据</v>
      </c>
      <c r="I111" s="3">
        <f>INDEX([1]机架!$C:$C,C111+3)</f>
        <v>3702010112</v>
      </c>
      <c r="J111" s="3">
        <f>IF(D111&lt;&gt;"",INDEX([1]机架!$C:$C,D111+3),0)</f>
        <v>3702010113</v>
      </c>
    </row>
    <row r="112" spans="1:10" ht="16.5" x14ac:dyDescent="0.2">
      <c r="A112" s="3" t="s">
        <v>393</v>
      </c>
      <c r="B112" s="3">
        <v>109</v>
      </c>
      <c r="C112" s="3">
        <f t="shared" si="5"/>
        <v>217</v>
      </c>
      <c r="D112" s="3">
        <f t="shared" si="6"/>
        <v>218</v>
      </c>
      <c r="E112" s="3" t="str">
        <f t="shared" si="4"/>
        <v>dump:1210102073&amp;2210102073</v>
      </c>
      <c r="F112" s="3" t="str">
        <f t="shared" si="7"/>
        <v>哑资源设备_109</v>
      </c>
      <c r="G112" s="10" t="s">
        <v>406</v>
      </c>
      <c r="H112" s="3" t="str">
        <f>"检测机架"&amp;INDEX([1]机架!$D:$D,C112+3)&amp;IF(D112&lt;&gt;"","和"&amp;INDEX([1]机架!$D:$D,D112+3),"")&amp;"的数据"</f>
        <v>检测机架即墨蓝村の机架-4和即墨蓝村の机架-5的数据</v>
      </c>
      <c r="I112" s="3">
        <f>INDEX([1]机架!$C:$C,C112+3)</f>
        <v>3702010121</v>
      </c>
      <c r="J112" s="3">
        <f>IF(D112&lt;&gt;"",INDEX([1]机架!$C:$C,D112+3),0)</f>
        <v>3702010122</v>
      </c>
    </row>
    <row r="113" spans="1:10" ht="16.5" x14ac:dyDescent="0.2">
      <c r="A113" s="3" t="s">
        <v>393</v>
      </c>
      <c r="B113" s="3">
        <v>110</v>
      </c>
      <c r="C113" s="3">
        <f t="shared" si="5"/>
        <v>219</v>
      </c>
      <c r="D113" s="3">
        <f t="shared" si="6"/>
        <v>220</v>
      </c>
      <c r="E113" s="3" t="str">
        <f t="shared" si="4"/>
        <v>dump:3210102073&amp;1310102073</v>
      </c>
      <c r="F113" s="3" t="str">
        <f t="shared" si="7"/>
        <v>哑资源设备_110</v>
      </c>
      <c r="G113" s="10" t="s">
        <v>406</v>
      </c>
      <c r="H113" s="3" t="str">
        <f>"检测机架"&amp;INDEX([1]机架!$D:$D,C113+3)&amp;IF(D113&lt;&gt;"","和"&amp;INDEX([1]机架!$D:$D,D113+3),"")&amp;"的数据"</f>
        <v>检测机架即墨蓝村の机架-6和即墨蓝村の机架-7的数据</v>
      </c>
      <c r="I113" s="3">
        <f>INDEX([1]机架!$C:$C,C113+3)</f>
        <v>3702010123</v>
      </c>
      <c r="J113" s="3">
        <f>IF(D113&lt;&gt;"",INDEX([1]机架!$C:$C,D113+3),0)</f>
        <v>3702010131</v>
      </c>
    </row>
    <row r="114" spans="1:10" ht="16.5" x14ac:dyDescent="0.2">
      <c r="A114" s="3" t="s">
        <v>393</v>
      </c>
      <c r="B114" s="3">
        <v>111</v>
      </c>
      <c r="C114" s="3">
        <f t="shared" si="5"/>
        <v>221</v>
      </c>
      <c r="D114" s="3">
        <f t="shared" si="6"/>
        <v>222</v>
      </c>
      <c r="E114" s="3" t="str">
        <f t="shared" si="4"/>
        <v>dump:2310102073&amp;3310102073</v>
      </c>
      <c r="F114" s="3" t="str">
        <f t="shared" si="7"/>
        <v>哑资源设备_111</v>
      </c>
      <c r="G114" s="10" t="s">
        <v>406</v>
      </c>
      <c r="H114" s="3" t="str">
        <f>"检测机架"&amp;INDEX([1]机架!$D:$D,C114+3)&amp;IF(D114&lt;&gt;"","和"&amp;INDEX([1]机架!$D:$D,D114+3),"")&amp;"的数据"</f>
        <v>检测机架即墨蓝村の机架-8和即墨蓝村の机架-9的数据</v>
      </c>
      <c r="I114" s="3">
        <f>INDEX([1]机架!$C:$C,C114+3)</f>
        <v>3702010132</v>
      </c>
      <c r="J114" s="3">
        <f>IF(D114&lt;&gt;"",INDEX([1]机架!$C:$C,D114+3),0)</f>
        <v>3702010133</v>
      </c>
    </row>
    <row r="115" spans="1:10" ht="16.5" x14ac:dyDescent="0.2">
      <c r="A115" s="3" t="s">
        <v>393</v>
      </c>
      <c r="B115" s="3">
        <v>112</v>
      </c>
      <c r="C115" s="3">
        <f t="shared" si="5"/>
        <v>223</v>
      </c>
      <c r="D115" s="3">
        <f t="shared" si="6"/>
        <v>224</v>
      </c>
      <c r="E115" s="3" t="str">
        <f t="shared" si="4"/>
        <v>dump:1111102073&amp;2111102073</v>
      </c>
      <c r="F115" s="3" t="str">
        <f t="shared" si="7"/>
        <v>哑资源设备_112</v>
      </c>
      <c r="G115" s="10" t="s">
        <v>406</v>
      </c>
      <c r="H115" s="3" t="str">
        <f>"检测机架"&amp;INDEX([1]机架!$D:$D,C115+3)&amp;IF(D115&lt;&gt;"","和"&amp;INDEX([1]机架!$D:$D,D115+3),"")&amp;"的数据"</f>
        <v>检测机架即墨振华街の机架-1和即墨振华街の机架-2的数据</v>
      </c>
      <c r="I115" s="3">
        <f>INDEX([1]机架!$C:$C,C115+3)</f>
        <v>3702011111</v>
      </c>
      <c r="J115" s="3">
        <f>IF(D115&lt;&gt;"",INDEX([1]机架!$C:$C,D115+3),0)</f>
        <v>3702011112</v>
      </c>
    </row>
    <row r="116" spans="1:10" ht="16.5" x14ac:dyDescent="0.2">
      <c r="A116" s="3" t="s">
        <v>393</v>
      </c>
      <c r="B116" s="3">
        <v>113</v>
      </c>
      <c r="C116" s="3">
        <f t="shared" si="5"/>
        <v>225</v>
      </c>
      <c r="D116" s="3">
        <f t="shared" si="6"/>
        <v>226</v>
      </c>
      <c r="E116" s="3" t="str">
        <f t="shared" si="4"/>
        <v>dump:3111102073&amp;1211102073</v>
      </c>
      <c r="F116" s="3" t="str">
        <f t="shared" si="7"/>
        <v>哑资源设备_113</v>
      </c>
      <c r="G116" s="10" t="s">
        <v>406</v>
      </c>
      <c r="H116" s="3" t="str">
        <f>"检测机架"&amp;INDEX([1]机架!$D:$D,C116+3)&amp;IF(D116&lt;&gt;"","和"&amp;INDEX([1]机架!$D:$D,D116+3),"")&amp;"的数据"</f>
        <v>检测机架即墨振华街の机架-3和即墨振华街の机架-4的数据</v>
      </c>
      <c r="I116" s="3">
        <f>INDEX([1]机架!$C:$C,C116+3)</f>
        <v>3702011113</v>
      </c>
      <c r="J116" s="3">
        <f>IF(D116&lt;&gt;"",INDEX([1]机架!$C:$C,D116+3),0)</f>
        <v>3702011121</v>
      </c>
    </row>
    <row r="117" spans="1:10" ht="16.5" x14ac:dyDescent="0.2">
      <c r="A117" s="3" t="s">
        <v>393</v>
      </c>
      <c r="B117" s="3">
        <v>114</v>
      </c>
      <c r="C117" s="3">
        <f t="shared" si="5"/>
        <v>227</v>
      </c>
      <c r="D117" s="3">
        <f t="shared" si="6"/>
        <v>228</v>
      </c>
      <c r="E117" s="3" t="str">
        <f t="shared" si="4"/>
        <v>dump:2211102073&amp;3211102073</v>
      </c>
      <c r="F117" s="3" t="str">
        <f t="shared" si="7"/>
        <v>哑资源设备_114</v>
      </c>
      <c r="G117" s="10" t="s">
        <v>406</v>
      </c>
      <c r="H117" s="3" t="str">
        <f>"检测机架"&amp;INDEX([1]机架!$D:$D,C117+3)&amp;IF(D117&lt;&gt;"","和"&amp;INDEX([1]机架!$D:$D,D117+3),"")&amp;"的数据"</f>
        <v>检测机架即墨振华街の机架-5和即墨振华街の机架-6的数据</v>
      </c>
      <c r="I117" s="3">
        <f>INDEX([1]机架!$C:$C,C117+3)</f>
        <v>3702011122</v>
      </c>
      <c r="J117" s="3">
        <f>IF(D117&lt;&gt;"",INDEX([1]机架!$C:$C,D117+3),0)</f>
        <v>3702011123</v>
      </c>
    </row>
    <row r="118" spans="1:10" ht="16.5" x14ac:dyDescent="0.2">
      <c r="A118" s="3" t="s">
        <v>393</v>
      </c>
      <c r="B118" s="3">
        <v>115</v>
      </c>
      <c r="C118" s="3">
        <f t="shared" si="5"/>
        <v>229</v>
      </c>
      <c r="D118" s="3">
        <f t="shared" si="6"/>
        <v>230</v>
      </c>
      <c r="E118" s="3" t="str">
        <f t="shared" si="4"/>
        <v>dump:1311102073&amp;2311102073</v>
      </c>
      <c r="F118" s="3" t="str">
        <f t="shared" si="7"/>
        <v>哑资源设备_115</v>
      </c>
      <c r="G118" s="10" t="s">
        <v>406</v>
      </c>
      <c r="H118" s="3" t="str">
        <f>"检测机架"&amp;INDEX([1]机架!$D:$D,C118+3)&amp;IF(D118&lt;&gt;"","和"&amp;INDEX([1]机架!$D:$D,D118+3),"")&amp;"的数据"</f>
        <v>检测机架即墨振华街の机架-7和即墨振华街の机架-8的数据</v>
      </c>
      <c r="I118" s="3">
        <f>INDEX([1]机架!$C:$C,C118+3)</f>
        <v>3702011131</v>
      </c>
      <c r="J118" s="3">
        <f>IF(D118&lt;&gt;"",INDEX([1]机架!$C:$C,D118+3),0)</f>
        <v>3702011132</v>
      </c>
    </row>
    <row r="119" spans="1:10" ht="16.5" x14ac:dyDescent="0.2">
      <c r="A119" s="3" t="s">
        <v>393</v>
      </c>
      <c r="B119" s="3">
        <v>116</v>
      </c>
      <c r="C119" s="3">
        <f t="shared" si="5"/>
        <v>231</v>
      </c>
      <c r="D119" s="3">
        <f t="shared" si="6"/>
        <v>232</v>
      </c>
      <c r="E119" s="3" t="str">
        <f t="shared" si="4"/>
        <v>dump:3311102073&amp;1112102073</v>
      </c>
      <c r="F119" s="3" t="str">
        <f t="shared" si="7"/>
        <v>哑资源设备_116</v>
      </c>
      <c r="G119" s="10" t="s">
        <v>406</v>
      </c>
      <c r="H119" s="3" t="str">
        <f>"检测机架"&amp;INDEX([1]机架!$D:$D,C119+3)&amp;IF(D119&lt;&gt;"","和"&amp;INDEX([1]机架!$D:$D,D119+3),"")&amp;"的数据"</f>
        <v>检测机架即墨振华街の机架-9和莱西威海中路の机架-1的数据</v>
      </c>
      <c r="I119" s="3">
        <f>INDEX([1]机架!$C:$C,C119+3)</f>
        <v>3702011133</v>
      </c>
      <c r="J119" s="3">
        <f>IF(D119&lt;&gt;"",INDEX([1]机架!$C:$C,D119+3),0)</f>
        <v>3702012111</v>
      </c>
    </row>
    <row r="120" spans="1:10" ht="16.5" x14ac:dyDescent="0.2">
      <c r="A120" s="3" t="s">
        <v>393</v>
      </c>
      <c r="B120" s="3">
        <v>117</v>
      </c>
      <c r="C120" s="3">
        <f t="shared" si="5"/>
        <v>233</v>
      </c>
      <c r="D120" s="3">
        <f t="shared" si="6"/>
        <v>234</v>
      </c>
      <c r="E120" s="3" t="str">
        <f t="shared" si="4"/>
        <v>dump:2112102073&amp;3112102073</v>
      </c>
      <c r="F120" s="3" t="str">
        <f t="shared" si="7"/>
        <v>哑资源设备_117</v>
      </c>
      <c r="G120" s="10" t="s">
        <v>406</v>
      </c>
      <c r="H120" s="3" t="str">
        <f>"检测机架"&amp;INDEX([1]机架!$D:$D,C120+3)&amp;IF(D120&lt;&gt;"","和"&amp;INDEX([1]机架!$D:$D,D120+3),"")&amp;"的数据"</f>
        <v>检测机架莱西威海中路の机架-2和莱西威海中路の机架-3的数据</v>
      </c>
      <c r="I120" s="3">
        <f>INDEX([1]机架!$C:$C,C120+3)</f>
        <v>3702012112</v>
      </c>
      <c r="J120" s="3">
        <f>IF(D120&lt;&gt;"",INDEX([1]机架!$C:$C,D120+3),0)</f>
        <v>3702012113</v>
      </c>
    </row>
    <row r="121" spans="1:10" ht="16.5" x14ac:dyDescent="0.2">
      <c r="A121" s="3" t="s">
        <v>393</v>
      </c>
      <c r="B121" s="3">
        <v>118</v>
      </c>
      <c r="C121" s="3">
        <f t="shared" si="5"/>
        <v>235</v>
      </c>
      <c r="D121" s="3">
        <f t="shared" si="6"/>
        <v>236</v>
      </c>
      <c r="E121" s="3" t="str">
        <f t="shared" si="4"/>
        <v>dump:1212102073&amp;2212102073</v>
      </c>
      <c r="F121" s="3" t="str">
        <f t="shared" si="7"/>
        <v>哑资源设备_118</v>
      </c>
      <c r="G121" s="10" t="s">
        <v>406</v>
      </c>
      <c r="H121" s="3" t="str">
        <f>"检测机架"&amp;INDEX([1]机架!$D:$D,C121+3)&amp;IF(D121&lt;&gt;"","和"&amp;INDEX([1]机架!$D:$D,D121+3),"")&amp;"的数据"</f>
        <v>检测机架莱西威海中路の机架-4和莱西威海中路の机架-5的数据</v>
      </c>
      <c r="I121" s="3">
        <f>INDEX([1]机架!$C:$C,C121+3)</f>
        <v>3702012121</v>
      </c>
      <c r="J121" s="3">
        <f>IF(D121&lt;&gt;"",INDEX([1]机架!$C:$C,D121+3),0)</f>
        <v>3702012122</v>
      </c>
    </row>
    <row r="122" spans="1:10" ht="16.5" x14ac:dyDescent="0.2">
      <c r="A122" s="3" t="s">
        <v>393</v>
      </c>
      <c r="B122" s="3">
        <v>119</v>
      </c>
      <c r="C122" s="3">
        <f t="shared" si="5"/>
        <v>237</v>
      </c>
      <c r="D122" s="3">
        <f t="shared" si="6"/>
        <v>238</v>
      </c>
      <c r="E122" s="3" t="str">
        <f t="shared" si="4"/>
        <v>dump:3212102073&amp;1312102073</v>
      </c>
      <c r="F122" s="3" t="str">
        <f t="shared" si="7"/>
        <v>哑资源设备_119</v>
      </c>
      <c r="G122" s="10" t="s">
        <v>406</v>
      </c>
      <c r="H122" s="3" t="str">
        <f>"检测机架"&amp;INDEX([1]机架!$D:$D,C122+3)&amp;IF(D122&lt;&gt;"","和"&amp;INDEX([1]机架!$D:$D,D122+3),"")&amp;"的数据"</f>
        <v>检测机架莱西威海中路の机架-6和莱西威海中路の机架-7的数据</v>
      </c>
      <c r="I122" s="3">
        <f>INDEX([1]机架!$C:$C,C122+3)</f>
        <v>3702012123</v>
      </c>
      <c r="J122" s="3">
        <f>IF(D122&lt;&gt;"",INDEX([1]机架!$C:$C,D122+3),0)</f>
        <v>3702012131</v>
      </c>
    </row>
    <row r="123" spans="1:10" ht="16.5" x14ac:dyDescent="0.2">
      <c r="A123" s="3" t="s">
        <v>393</v>
      </c>
      <c r="B123" s="3">
        <v>120</v>
      </c>
      <c r="C123" s="3">
        <f t="shared" si="5"/>
        <v>239</v>
      </c>
      <c r="D123" s="3">
        <f t="shared" si="6"/>
        <v>240</v>
      </c>
      <c r="E123" s="3" t="str">
        <f t="shared" si="4"/>
        <v>dump:2312102073&amp;3312102073</v>
      </c>
      <c r="F123" s="3" t="str">
        <f t="shared" si="7"/>
        <v>哑资源设备_120</v>
      </c>
      <c r="G123" s="10" t="s">
        <v>406</v>
      </c>
      <c r="H123" s="3" t="str">
        <f>"检测机架"&amp;INDEX([1]机架!$D:$D,C123+3)&amp;IF(D123&lt;&gt;"","和"&amp;INDEX([1]机架!$D:$D,D123+3),"")&amp;"的数据"</f>
        <v>检测机架莱西威海中路の机架-8和莱西威海中路の机架-9的数据</v>
      </c>
      <c r="I123" s="3">
        <f>INDEX([1]机架!$C:$C,C123+3)</f>
        <v>3702012132</v>
      </c>
      <c r="J123" s="3">
        <f>IF(D123&lt;&gt;"",INDEX([1]机架!$C:$C,D123+3),0)</f>
        <v>3702012133</v>
      </c>
    </row>
    <row r="124" spans="1:10" ht="16.5" x14ac:dyDescent="0.2">
      <c r="A124" s="3" t="s">
        <v>393</v>
      </c>
      <c r="B124" s="3">
        <v>121</v>
      </c>
      <c r="C124" s="3">
        <f t="shared" si="5"/>
        <v>241</v>
      </c>
      <c r="D124" s="3">
        <f t="shared" si="6"/>
        <v>242</v>
      </c>
      <c r="E124" s="3" t="str">
        <f t="shared" si="4"/>
        <v>dump:1113102073&amp;2113102073</v>
      </c>
      <c r="F124" s="3" t="str">
        <f t="shared" si="7"/>
        <v>哑资源设备_121</v>
      </c>
      <c r="G124" s="10" t="s">
        <v>406</v>
      </c>
      <c r="H124" s="3" t="str">
        <f>"检测机架"&amp;INDEX([1]机架!$D:$D,C124+3)&amp;IF(D124&lt;&gt;"","和"&amp;INDEX([1]机架!$D:$D,D124+3),"")&amp;"的数据"</f>
        <v>检测机架胶南珠海中路の机架-1和胶南珠海中路の机架-2的数据</v>
      </c>
      <c r="I124" s="3">
        <f>INDEX([1]机架!$C:$C,C124+3)</f>
        <v>3702013111</v>
      </c>
      <c r="J124" s="3">
        <f>IF(D124&lt;&gt;"",INDEX([1]机架!$C:$C,D124+3),0)</f>
        <v>3702013112</v>
      </c>
    </row>
    <row r="125" spans="1:10" ht="16.5" x14ac:dyDescent="0.2">
      <c r="A125" s="3" t="s">
        <v>393</v>
      </c>
      <c r="B125" s="3">
        <v>122</v>
      </c>
      <c r="C125" s="3">
        <f t="shared" si="5"/>
        <v>243</v>
      </c>
      <c r="D125" s="3">
        <f t="shared" si="6"/>
        <v>244</v>
      </c>
      <c r="E125" s="3" t="str">
        <f t="shared" si="4"/>
        <v>dump:3113102073&amp;1213102073</v>
      </c>
      <c r="F125" s="3" t="str">
        <f t="shared" si="7"/>
        <v>哑资源设备_122</v>
      </c>
      <c r="G125" s="10" t="s">
        <v>406</v>
      </c>
      <c r="H125" s="3" t="str">
        <f>"检测机架"&amp;INDEX([1]机架!$D:$D,C125+3)&amp;IF(D125&lt;&gt;"","和"&amp;INDEX([1]机架!$D:$D,D125+3),"")&amp;"的数据"</f>
        <v>检测机架胶南珠海中路の机架-3和胶南珠海中路の机架-4的数据</v>
      </c>
      <c r="I125" s="3">
        <f>INDEX([1]机架!$C:$C,C125+3)</f>
        <v>3702013113</v>
      </c>
      <c r="J125" s="3">
        <f>IF(D125&lt;&gt;"",INDEX([1]机架!$C:$C,D125+3),0)</f>
        <v>3702013121</v>
      </c>
    </row>
    <row r="126" spans="1:10" ht="16.5" x14ac:dyDescent="0.2">
      <c r="A126" s="3" t="s">
        <v>393</v>
      </c>
      <c r="B126" s="3">
        <v>123</v>
      </c>
      <c r="C126" s="3">
        <f t="shared" si="5"/>
        <v>245</v>
      </c>
      <c r="D126" s="3">
        <f t="shared" si="6"/>
        <v>246</v>
      </c>
      <c r="E126" s="3" t="str">
        <f t="shared" si="4"/>
        <v>dump:2213102073&amp;3213102073</v>
      </c>
      <c r="F126" s="3" t="str">
        <f t="shared" si="7"/>
        <v>哑资源设备_123</v>
      </c>
      <c r="G126" s="10" t="s">
        <v>406</v>
      </c>
      <c r="H126" s="3" t="str">
        <f>"检测机架"&amp;INDEX([1]机架!$D:$D,C126+3)&amp;IF(D126&lt;&gt;"","和"&amp;INDEX([1]机架!$D:$D,D126+3),"")&amp;"的数据"</f>
        <v>检测机架胶南珠海中路の机架-5和胶南珠海中路の机架-6的数据</v>
      </c>
      <c r="I126" s="3">
        <f>INDEX([1]机架!$C:$C,C126+3)</f>
        <v>3702013122</v>
      </c>
      <c r="J126" s="3">
        <f>IF(D126&lt;&gt;"",INDEX([1]机架!$C:$C,D126+3),0)</f>
        <v>3702013123</v>
      </c>
    </row>
    <row r="127" spans="1:10" ht="16.5" x14ac:dyDescent="0.2">
      <c r="A127" s="3" t="s">
        <v>393</v>
      </c>
      <c r="B127" s="3">
        <v>124</v>
      </c>
      <c r="C127" s="3">
        <f t="shared" si="5"/>
        <v>247</v>
      </c>
      <c r="D127" s="3">
        <f t="shared" si="6"/>
        <v>248</v>
      </c>
      <c r="E127" s="3" t="str">
        <f t="shared" si="4"/>
        <v>dump:1313102073&amp;2313102073</v>
      </c>
      <c r="F127" s="3" t="str">
        <f t="shared" si="7"/>
        <v>哑资源设备_124</v>
      </c>
      <c r="G127" s="10" t="s">
        <v>406</v>
      </c>
      <c r="H127" s="3" t="str">
        <f>"检测机架"&amp;INDEX([1]机架!$D:$D,C127+3)&amp;IF(D127&lt;&gt;"","和"&amp;INDEX([1]机架!$D:$D,D127+3),"")&amp;"的数据"</f>
        <v>检测机架胶南珠海中路の机架-7和胶南珠海中路の机架-8的数据</v>
      </c>
      <c r="I127" s="3">
        <f>INDEX([1]机架!$C:$C,C127+3)</f>
        <v>3702013131</v>
      </c>
      <c r="J127" s="3">
        <f>IF(D127&lt;&gt;"",INDEX([1]机架!$C:$C,D127+3),0)</f>
        <v>3702013132</v>
      </c>
    </row>
    <row r="128" spans="1:10" ht="16.5" x14ac:dyDescent="0.2">
      <c r="A128" s="3" t="s">
        <v>393</v>
      </c>
      <c r="B128" s="3">
        <v>125</v>
      </c>
      <c r="C128" s="3">
        <f t="shared" si="5"/>
        <v>249</v>
      </c>
      <c r="D128" s="3">
        <f t="shared" si="6"/>
        <v>250</v>
      </c>
      <c r="E128" s="3" t="str">
        <f t="shared" si="4"/>
        <v>dump:3313102073&amp;1114102073</v>
      </c>
      <c r="F128" s="3" t="str">
        <f t="shared" si="7"/>
        <v>哑资源设备_125</v>
      </c>
      <c r="G128" s="10" t="s">
        <v>406</v>
      </c>
      <c r="H128" s="3" t="str">
        <f>"检测机架"&amp;INDEX([1]机架!$D:$D,C128+3)&amp;IF(D128&lt;&gt;"","和"&amp;INDEX([1]机架!$D:$D,D128+3),"")&amp;"的数据"</f>
        <v>检测机架胶南珠海中路の机架-9和胶南泊里の机架-1的数据</v>
      </c>
      <c r="I128" s="3">
        <f>INDEX([1]机架!$C:$C,C128+3)</f>
        <v>3702013133</v>
      </c>
      <c r="J128" s="3">
        <f>IF(D128&lt;&gt;"",INDEX([1]机架!$C:$C,D128+3),0)</f>
        <v>3702014111</v>
      </c>
    </row>
    <row r="129" spans="1:10" ht="16.5" x14ac:dyDescent="0.2">
      <c r="A129" s="3" t="s">
        <v>393</v>
      </c>
      <c r="B129" s="3">
        <v>126</v>
      </c>
      <c r="C129" s="3">
        <f t="shared" si="5"/>
        <v>251</v>
      </c>
      <c r="D129" s="3">
        <f t="shared" si="6"/>
        <v>252</v>
      </c>
      <c r="E129" s="3" t="str">
        <f t="shared" si="4"/>
        <v>dump:2114102073&amp;3114102073</v>
      </c>
      <c r="F129" s="3" t="str">
        <f t="shared" si="7"/>
        <v>哑资源设备_126</v>
      </c>
      <c r="G129" s="10" t="s">
        <v>406</v>
      </c>
      <c r="H129" s="3" t="str">
        <f>"检测机架"&amp;INDEX([1]机架!$D:$D,C129+3)&amp;IF(D129&lt;&gt;"","和"&amp;INDEX([1]机架!$D:$D,D129+3),"")&amp;"的数据"</f>
        <v>检测机架胶南泊里の机架-2和胶南泊里の机架-3的数据</v>
      </c>
      <c r="I129" s="3">
        <f>INDEX([1]机架!$C:$C,C129+3)</f>
        <v>3702014112</v>
      </c>
      <c r="J129" s="3">
        <f>IF(D129&lt;&gt;"",INDEX([1]机架!$C:$C,D129+3),0)</f>
        <v>3702014113</v>
      </c>
    </row>
    <row r="130" spans="1:10" ht="16.5" x14ac:dyDescent="0.2">
      <c r="A130" s="3" t="s">
        <v>393</v>
      </c>
      <c r="B130" s="3">
        <v>127</v>
      </c>
      <c r="C130" s="3">
        <f t="shared" si="5"/>
        <v>253</v>
      </c>
      <c r="D130" s="3">
        <f t="shared" si="6"/>
        <v>254</v>
      </c>
      <c r="E130" s="3" t="str">
        <f t="shared" si="4"/>
        <v>dump:1214102073&amp;2214102073</v>
      </c>
      <c r="F130" s="3" t="str">
        <f t="shared" si="7"/>
        <v>哑资源设备_127</v>
      </c>
      <c r="G130" s="10" t="s">
        <v>406</v>
      </c>
      <c r="H130" s="3" t="str">
        <f>"检测机架"&amp;INDEX([1]机架!$D:$D,C130+3)&amp;IF(D130&lt;&gt;"","和"&amp;INDEX([1]机架!$D:$D,D130+3),"")&amp;"的数据"</f>
        <v>检测机架胶南泊里の机架-4和胶南泊里の机架-5的数据</v>
      </c>
      <c r="I130" s="3">
        <f>INDEX([1]机架!$C:$C,C130+3)</f>
        <v>3702014121</v>
      </c>
      <c r="J130" s="3">
        <f>IF(D130&lt;&gt;"",INDEX([1]机架!$C:$C,D130+3),0)</f>
        <v>3702014122</v>
      </c>
    </row>
    <row r="131" spans="1:10" ht="16.5" x14ac:dyDescent="0.2">
      <c r="A131" s="3" t="s">
        <v>393</v>
      </c>
      <c r="B131" s="3">
        <v>128</v>
      </c>
      <c r="C131" s="3">
        <f t="shared" si="5"/>
        <v>255</v>
      </c>
      <c r="D131" s="3">
        <f t="shared" si="6"/>
        <v>256</v>
      </c>
      <c r="E131" s="3" t="str">
        <f t="shared" si="4"/>
        <v>dump:3214102073&amp;1314102073</v>
      </c>
      <c r="F131" s="3" t="str">
        <f t="shared" si="7"/>
        <v>哑资源设备_128</v>
      </c>
      <c r="G131" s="10" t="s">
        <v>406</v>
      </c>
      <c r="H131" s="3" t="str">
        <f>"检测机架"&amp;INDEX([1]机架!$D:$D,C131+3)&amp;IF(D131&lt;&gt;"","和"&amp;INDEX([1]机架!$D:$D,D131+3),"")&amp;"的数据"</f>
        <v>检测机架胶南泊里の机架-6和胶南泊里の机架-7的数据</v>
      </c>
      <c r="I131" s="3">
        <f>INDEX([1]机架!$C:$C,C131+3)</f>
        <v>3702014123</v>
      </c>
      <c r="J131" s="3">
        <f>IF(D131&lt;&gt;"",INDEX([1]机架!$C:$C,D131+3),0)</f>
        <v>3702014131</v>
      </c>
    </row>
    <row r="132" spans="1:10" ht="16.5" x14ac:dyDescent="0.2">
      <c r="A132" s="3" t="s">
        <v>393</v>
      </c>
      <c r="B132" s="3">
        <v>129</v>
      </c>
      <c r="C132" s="3">
        <f t="shared" si="5"/>
        <v>257</v>
      </c>
      <c r="D132" s="3">
        <f t="shared" si="6"/>
        <v>258</v>
      </c>
      <c r="E132" s="3" t="str">
        <f t="shared" ref="E132:E195" si="8">"dump:"&amp;Reverse(I132)&amp;"&amp;"&amp;Reverse(J132)</f>
        <v>dump:2314102073&amp;3314102073</v>
      </c>
      <c r="F132" s="3" t="str">
        <f t="shared" si="7"/>
        <v>哑资源设备_129</v>
      </c>
      <c r="G132" s="10" t="s">
        <v>406</v>
      </c>
      <c r="H132" s="3" t="str">
        <f>"检测机架"&amp;INDEX([1]机架!$D:$D,C132+3)&amp;IF(D132&lt;&gt;"","和"&amp;INDEX([1]机架!$D:$D,D132+3),"")&amp;"的数据"</f>
        <v>检测机架胶南泊里の机架-8和胶南泊里の机架-9的数据</v>
      </c>
      <c r="I132" s="3">
        <f>INDEX([1]机架!$C:$C,C132+3)</f>
        <v>3702014132</v>
      </c>
      <c r="J132" s="3">
        <f>IF(D132&lt;&gt;"",INDEX([1]机架!$C:$C,D132+3),0)</f>
        <v>3702014133</v>
      </c>
    </row>
    <row r="133" spans="1:10" ht="16.5" x14ac:dyDescent="0.2">
      <c r="A133" s="3" t="s">
        <v>393</v>
      </c>
      <c r="B133" s="3">
        <v>130</v>
      </c>
      <c r="C133" s="3">
        <f t="shared" ref="C133:C196" si="9">MOD(B133-1,INT(($N$3+1)/2))*2+1</f>
        <v>259</v>
      </c>
      <c r="D133" s="3">
        <f t="shared" ref="D133:D196" si="10">IF(C133&lt;$N$3,MOD(B133-1,INT(($N$3+1)/2))*2+2,"")</f>
        <v>260</v>
      </c>
      <c r="E133" s="3" t="str">
        <f t="shared" si="8"/>
        <v>dump:1115102073&amp;2115102073</v>
      </c>
      <c r="F133" s="3" t="str">
        <f t="shared" ref="F133:F196" si="11">"哑资源设备_"&amp;B133</f>
        <v>哑资源设备_130</v>
      </c>
      <c r="G133" s="10" t="s">
        <v>406</v>
      </c>
      <c r="H133" s="3" t="str">
        <f>"检测机架"&amp;INDEX([1]机架!$D:$D,C133+3)&amp;IF(D133&lt;&gt;"","和"&amp;INDEX([1]机架!$D:$D,D133+3),"")&amp;"的数据"</f>
        <v>检测机架胶南张家楼の机架-1和胶南张家楼の机架-2的数据</v>
      </c>
      <c r="I133" s="3">
        <f>INDEX([1]机架!$C:$C,C133+3)</f>
        <v>3702015111</v>
      </c>
      <c r="J133" s="3">
        <f>IF(D133&lt;&gt;"",INDEX([1]机架!$C:$C,D133+3),0)</f>
        <v>3702015112</v>
      </c>
    </row>
    <row r="134" spans="1:10" ht="16.5" x14ac:dyDescent="0.2">
      <c r="A134" s="3" t="s">
        <v>393</v>
      </c>
      <c r="B134" s="3">
        <v>131</v>
      </c>
      <c r="C134" s="3">
        <f t="shared" si="9"/>
        <v>261</v>
      </c>
      <c r="D134" s="3">
        <f t="shared" si="10"/>
        <v>262</v>
      </c>
      <c r="E134" s="3" t="str">
        <f t="shared" si="8"/>
        <v>dump:3115102073&amp;1215102073</v>
      </c>
      <c r="F134" s="3" t="str">
        <f t="shared" si="11"/>
        <v>哑资源设备_131</v>
      </c>
      <c r="G134" s="10" t="s">
        <v>406</v>
      </c>
      <c r="H134" s="3" t="str">
        <f>"检测机架"&amp;INDEX([1]机架!$D:$D,C134+3)&amp;IF(D134&lt;&gt;"","和"&amp;INDEX([1]机架!$D:$D,D134+3),"")&amp;"的数据"</f>
        <v>检测机架胶南张家楼の机架-3和胶南张家楼の机架-4的数据</v>
      </c>
      <c r="I134" s="3">
        <f>INDEX([1]机架!$C:$C,C134+3)</f>
        <v>3702015113</v>
      </c>
      <c r="J134" s="3">
        <f>IF(D134&lt;&gt;"",INDEX([1]机架!$C:$C,D134+3),0)</f>
        <v>3702015121</v>
      </c>
    </row>
    <row r="135" spans="1:10" ht="16.5" x14ac:dyDescent="0.2">
      <c r="A135" s="3" t="s">
        <v>393</v>
      </c>
      <c r="B135" s="3">
        <v>132</v>
      </c>
      <c r="C135" s="3">
        <f t="shared" si="9"/>
        <v>263</v>
      </c>
      <c r="D135" s="3">
        <f t="shared" si="10"/>
        <v>264</v>
      </c>
      <c r="E135" s="3" t="str">
        <f t="shared" si="8"/>
        <v>dump:2215102073&amp;3215102073</v>
      </c>
      <c r="F135" s="3" t="str">
        <f t="shared" si="11"/>
        <v>哑资源设备_132</v>
      </c>
      <c r="G135" s="10" t="s">
        <v>406</v>
      </c>
      <c r="H135" s="3" t="str">
        <f>"检测机架"&amp;INDEX([1]机架!$D:$D,C135+3)&amp;IF(D135&lt;&gt;"","和"&amp;INDEX([1]机架!$D:$D,D135+3),"")&amp;"的数据"</f>
        <v>检测机架胶南张家楼の机架-5和胶南张家楼の机架-6的数据</v>
      </c>
      <c r="I135" s="3">
        <f>INDEX([1]机架!$C:$C,C135+3)</f>
        <v>3702015122</v>
      </c>
      <c r="J135" s="3">
        <f>IF(D135&lt;&gt;"",INDEX([1]机架!$C:$C,D135+3),0)</f>
        <v>3702015123</v>
      </c>
    </row>
    <row r="136" spans="1:10" ht="16.5" x14ac:dyDescent="0.2">
      <c r="A136" s="3" t="s">
        <v>393</v>
      </c>
      <c r="B136" s="3">
        <v>133</v>
      </c>
      <c r="C136" s="3">
        <f t="shared" si="9"/>
        <v>265</v>
      </c>
      <c r="D136" s="3">
        <f t="shared" si="10"/>
        <v>266</v>
      </c>
      <c r="E136" s="3" t="str">
        <f t="shared" si="8"/>
        <v>dump:1315102073&amp;2315102073</v>
      </c>
      <c r="F136" s="3" t="str">
        <f t="shared" si="11"/>
        <v>哑资源设备_133</v>
      </c>
      <c r="G136" s="10" t="s">
        <v>406</v>
      </c>
      <c r="H136" s="3" t="str">
        <f>"检测机架"&amp;INDEX([1]机架!$D:$D,C136+3)&amp;IF(D136&lt;&gt;"","和"&amp;INDEX([1]机架!$D:$D,D136+3),"")&amp;"的数据"</f>
        <v>检测机架胶南张家楼の机架-7和胶南张家楼の机架-8的数据</v>
      </c>
      <c r="I136" s="3">
        <f>INDEX([1]机架!$C:$C,C136+3)</f>
        <v>3702015131</v>
      </c>
      <c r="J136" s="3">
        <f>IF(D136&lt;&gt;"",INDEX([1]机架!$C:$C,D136+3),0)</f>
        <v>3702015132</v>
      </c>
    </row>
    <row r="137" spans="1:10" ht="16.5" x14ac:dyDescent="0.2">
      <c r="A137" s="3" t="s">
        <v>393</v>
      </c>
      <c r="B137" s="3">
        <v>134</v>
      </c>
      <c r="C137" s="3">
        <f t="shared" si="9"/>
        <v>267</v>
      </c>
      <c r="D137" s="3">
        <f t="shared" si="10"/>
        <v>268</v>
      </c>
      <c r="E137" s="3" t="str">
        <f t="shared" si="8"/>
        <v>dump:3315102073&amp;1111003073</v>
      </c>
      <c r="F137" s="3" t="str">
        <f t="shared" si="11"/>
        <v>哑资源设备_134</v>
      </c>
      <c r="G137" s="10" t="s">
        <v>406</v>
      </c>
      <c r="H137" s="3" t="str">
        <f>"检测机架"&amp;INDEX([1]机架!$D:$D,C137+3)&amp;IF(D137&lt;&gt;"","和"&amp;INDEX([1]机架!$D:$D,D137+3),"")&amp;"的数据"</f>
        <v>检测机架胶南张家楼の机架-9和淄博中心路の机架-1的数据</v>
      </c>
      <c r="I137" s="3">
        <f>INDEX([1]机架!$C:$C,C137+3)</f>
        <v>3702015133</v>
      </c>
      <c r="J137" s="3">
        <f>IF(D137&lt;&gt;"",INDEX([1]机架!$C:$C,D137+3),0)</f>
        <v>3703001111</v>
      </c>
    </row>
    <row r="138" spans="1:10" ht="16.5" x14ac:dyDescent="0.2">
      <c r="A138" s="3" t="s">
        <v>393</v>
      </c>
      <c r="B138" s="3">
        <v>135</v>
      </c>
      <c r="C138" s="3">
        <f t="shared" si="9"/>
        <v>269</v>
      </c>
      <c r="D138" s="3">
        <f t="shared" si="10"/>
        <v>270</v>
      </c>
      <c r="E138" s="3" t="str">
        <f t="shared" si="8"/>
        <v>dump:2111003073&amp;3111003073</v>
      </c>
      <c r="F138" s="3" t="str">
        <f t="shared" si="11"/>
        <v>哑资源设备_135</v>
      </c>
      <c r="G138" s="10" t="s">
        <v>406</v>
      </c>
      <c r="H138" s="3" t="str">
        <f>"检测机架"&amp;INDEX([1]机架!$D:$D,C138+3)&amp;IF(D138&lt;&gt;"","和"&amp;INDEX([1]机架!$D:$D,D138+3),"")&amp;"的数据"</f>
        <v>检测机架淄博中心路の机架-2和淄博中心路の机架-3的数据</v>
      </c>
      <c r="I138" s="3">
        <f>INDEX([1]机架!$C:$C,C138+3)</f>
        <v>3703001112</v>
      </c>
      <c r="J138" s="3">
        <f>IF(D138&lt;&gt;"",INDEX([1]机架!$C:$C,D138+3),0)</f>
        <v>3703001113</v>
      </c>
    </row>
    <row r="139" spans="1:10" ht="16.5" x14ac:dyDescent="0.2">
      <c r="A139" s="3" t="s">
        <v>393</v>
      </c>
      <c r="B139" s="3">
        <v>136</v>
      </c>
      <c r="C139" s="3">
        <f t="shared" si="9"/>
        <v>271</v>
      </c>
      <c r="D139" s="3">
        <f t="shared" si="10"/>
        <v>272</v>
      </c>
      <c r="E139" s="3" t="str">
        <f t="shared" si="8"/>
        <v>dump:1211003073&amp;2211003073</v>
      </c>
      <c r="F139" s="3" t="str">
        <f t="shared" si="11"/>
        <v>哑资源设备_136</v>
      </c>
      <c r="G139" s="10" t="s">
        <v>406</v>
      </c>
      <c r="H139" s="3" t="str">
        <f>"检测机架"&amp;INDEX([1]机架!$D:$D,C139+3)&amp;IF(D139&lt;&gt;"","和"&amp;INDEX([1]机架!$D:$D,D139+3),"")&amp;"的数据"</f>
        <v>检测机架淄博中心路の机架-4和淄博中心路の机架-5的数据</v>
      </c>
      <c r="I139" s="3">
        <f>INDEX([1]机架!$C:$C,C139+3)</f>
        <v>3703001121</v>
      </c>
      <c r="J139" s="3">
        <f>IF(D139&lt;&gt;"",INDEX([1]机架!$C:$C,D139+3),0)</f>
        <v>3703001122</v>
      </c>
    </row>
    <row r="140" spans="1:10" ht="16.5" x14ac:dyDescent="0.2">
      <c r="A140" s="3" t="s">
        <v>393</v>
      </c>
      <c r="B140" s="3">
        <v>137</v>
      </c>
      <c r="C140" s="3">
        <f t="shared" si="9"/>
        <v>273</v>
      </c>
      <c r="D140" s="3">
        <f t="shared" si="10"/>
        <v>274</v>
      </c>
      <c r="E140" s="3" t="str">
        <f t="shared" si="8"/>
        <v>dump:3211003073&amp;1311003073</v>
      </c>
      <c r="F140" s="3" t="str">
        <f t="shared" si="11"/>
        <v>哑资源设备_137</v>
      </c>
      <c r="G140" s="10" t="s">
        <v>406</v>
      </c>
      <c r="H140" s="3" t="str">
        <f>"检测机架"&amp;INDEX([1]机架!$D:$D,C140+3)&amp;IF(D140&lt;&gt;"","和"&amp;INDEX([1]机架!$D:$D,D140+3),"")&amp;"的数据"</f>
        <v>检测机架淄博中心路の机架-6和淄博中心路の机架-7的数据</v>
      </c>
      <c r="I140" s="3">
        <f>INDEX([1]机架!$C:$C,C140+3)</f>
        <v>3703001123</v>
      </c>
      <c r="J140" s="3">
        <f>IF(D140&lt;&gt;"",INDEX([1]机架!$C:$C,D140+3),0)</f>
        <v>3703001131</v>
      </c>
    </row>
    <row r="141" spans="1:10" ht="16.5" x14ac:dyDescent="0.2">
      <c r="A141" s="3" t="s">
        <v>393</v>
      </c>
      <c r="B141" s="3">
        <v>138</v>
      </c>
      <c r="C141" s="3">
        <f t="shared" si="9"/>
        <v>275</v>
      </c>
      <c r="D141" s="3">
        <f t="shared" si="10"/>
        <v>276</v>
      </c>
      <c r="E141" s="3" t="str">
        <f t="shared" si="8"/>
        <v>dump:2311003073&amp;3311003073</v>
      </c>
      <c r="F141" s="3" t="str">
        <f t="shared" si="11"/>
        <v>哑资源设备_138</v>
      </c>
      <c r="G141" s="10" t="s">
        <v>406</v>
      </c>
      <c r="H141" s="3" t="str">
        <f>"检测机架"&amp;INDEX([1]机架!$D:$D,C141+3)&amp;IF(D141&lt;&gt;"","和"&amp;INDEX([1]机架!$D:$D,D141+3),"")&amp;"的数据"</f>
        <v>检测机架淄博中心路の机架-8和淄博中心路の机架-9的数据</v>
      </c>
      <c r="I141" s="3">
        <f>INDEX([1]机架!$C:$C,C141+3)</f>
        <v>3703001132</v>
      </c>
      <c r="J141" s="3">
        <f>IF(D141&lt;&gt;"",INDEX([1]机架!$C:$C,D141+3),0)</f>
        <v>3703001133</v>
      </c>
    </row>
    <row r="142" spans="1:10" ht="16.5" x14ac:dyDescent="0.2">
      <c r="A142" s="3" t="s">
        <v>393</v>
      </c>
      <c r="B142" s="3">
        <v>139</v>
      </c>
      <c r="C142" s="3">
        <f t="shared" si="9"/>
        <v>277</v>
      </c>
      <c r="D142" s="3">
        <f t="shared" si="10"/>
        <v>278</v>
      </c>
      <c r="E142" s="3" t="str">
        <f t="shared" si="8"/>
        <v>dump:1121003073&amp;2121003073</v>
      </c>
      <c r="F142" s="3" t="str">
        <f t="shared" si="11"/>
        <v>哑资源设备_139</v>
      </c>
      <c r="G142" s="10" t="s">
        <v>406</v>
      </c>
      <c r="H142" s="3" t="str">
        <f>"检测机架"&amp;INDEX([1]机架!$D:$D,C142+3)&amp;IF(D142&lt;&gt;"","和"&amp;INDEX([1]机架!$D:$D,D142+3),"")&amp;"的数据"</f>
        <v>检测机架淄博中心路の机架-10和淄博中心路の机架-11的数据</v>
      </c>
      <c r="I142" s="3">
        <f>INDEX([1]机架!$C:$C,C142+3)</f>
        <v>3703001211</v>
      </c>
      <c r="J142" s="3">
        <f>IF(D142&lt;&gt;"",INDEX([1]机架!$C:$C,D142+3),0)</f>
        <v>3703001212</v>
      </c>
    </row>
    <row r="143" spans="1:10" ht="16.5" x14ac:dyDescent="0.2">
      <c r="A143" s="3" t="s">
        <v>393</v>
      </c>
      <c r="B143" s="3">
        <v>140</v>
      </c>
      <c r="C143" s="3">
        <f t="shared" si="9"/>
        <v>279</v>
      </c>
      <c r="D143" s="3">
        <f t="shared" si="10"/>
        <v>280</v>
      </c>
      <c r="E143" s="3" t="str">
        <f t="shared" si="8"/>
        <v>dump:3121003073&amp;1221003073</v>
      </c>
      <c r="F143" s="3" t="str">
        <f t="shared" si="11"/>
        <v>哑资源设备_140</v>
      </c>
      <c r="G143" s="10" t="s">
        <v>406</v>
      </c>
      <c r="H143" s="3" t="str">
        <f>"检测机架"&amp;INDEX([1]机架!$D:$D,C143+3)&amp;IF(D143&lt;&gt;"","和"&amp;INDEX([1]机架!$D:$D,D143+3),"")&amp;"的数据"</f>
        <v>检测机架淄博中心路の机架-12和淄博中心路の机架-13的数据</v>
      </c>
      <c r="I143" s="3">
        <f>INDEX([1]机架!$C:$C,C143+3)</f>
        <v>3703001213</v>
      </c>
      <c r="J143" s="3">
        <f>IF(D143&lt;&gt;"",INDEX([1]机架!$C:$C,D143+3),0)</f>
        <v>3703001221</v>
      </c>
    </row>
    <row r="144" spans="1:10" ht="16.5" x14ac:dyDescent="0.2">
      <c r="A144" s="3" t="s">
        <v>393</v>
      </c>
      <c r="B144" s="3">
        <v>141</v>
      </c>
      <c r="C144" s="3">
        <f t="shared" si="9"/>
        <v>281</v>
      </c>
      <c r="D144" s="3">
        <f t="shared" si="10"/>
        <v>282</v>
      </c>
      <c r="E144" s="3" t="str">
        <f t="shared" si="8"/>
        <v>dump:2221003073&amp;3221003073</v>
      </c>
      <c r="F144" s="3" t="str">
        <f t="shared" si="11"/>
        <v>哑资源设备_141</v>
      </c>
      <c r="G144" s="10" t="s">
        <v>406</v>
      </c>
      <c r="H144" s="3" t="str">
        <f>"检测机架"&amp;INDEX([1]机架!$D:$D,C144+3)&amp;IF(D144&lt;&gt;"","和"&amp;INDEX([1]机架!$D:$D,D144+3),"")&amp;"的数据"</f>
        <v>检测机架淄博中心路の机架-14和淄博中心路の机架-15的数据</v>
      </c>
      <c r="I144" s="3">
        <f>INDEX([1]机架!$C:$C,C144+3)</f>
        <v>3703001222</v>
      </c>
      <c r="J144" s="3">
        <f>IF(D144&lt;&gt;"",INDEX([1]机架!$C:$C,D144+3),0)</f>
        <v>3703001223</v>
      </c>
    </row>
    <row r="145" spans="1:10" ht="16.5" x14ac:dyDescent="0.2">
      <c r="A145" s="3" t="s">
        <v>393</v>
      </c>
      <c r="B145" s="3">
        <v>142</v>
      </c>
      <c r="C145" s="3">
        <f t="shared" si="9"/>
        <v>283</v>
      </c>
      <c r="D145" s="3">
        <f t="shared" si="10"/>
        <v>284</v>
      </c>
      <c r="E145" s="3" t="str">
        <f t="shared" si="8"/>
        <v>dump:1321003073&amp;2321003073</v>
      </c>
      <c r="F145" s="3" t="str">
        <f t="shared" si="11"/>
        <v>哑资源设备_142</v>
      </c>
      <c r="G145" s="10" t="s">
        <v>406</v>
      </c>
      <c r="H145" s="3" t="str">
        <f>"检测机架"&amp;INDEX([1]机架!$D:$D,C145+3)&amp;IF(D145&lt;&gt;"","和"&amp;INDEX([1]机架!$D:$D,D145+3),"")&amp;"的数据"</f>
        <v>检测机架淄博中心路の机架-16和淄博中心路の机架-17的数据</v>
      </c>
      <c r="I145" s="3">
        <f>INDEX([1]机架!$C:$C,C145+3)</f>
        <v>3703001231</v>
      </c>
      <c r="J145" s="3">
        <f>IF(D145&lt;&gt;"",INDEX([1]机架!$C:$C,D145+3),0)</f>
        <v>3703001232</v>
      </c>
    </row>
    <row r="146" spans="1:10" ht="16.5" x14ac:dyDescent="0.2">
      <c r="A146" s="3" t="s">
        <v>393</v>
      </c>
      <c r="B146" s="3">
        <v>143</v>
      </c>
      <c r="C146" s="3">
        <f t="shared" si="9"/>
        <v>285</v>
      </c>
      <c r="D146" s="3">
        <f t="shared" si="10"/>
        <v>286</v>
      </c>
      <c r="E146" s="3" t="str">
        <f t="shared" si="8"/>
        <v>dump:3321003073&amp;1112003073</v>
      </c>
      <c r="F146" s="3" t="str">
        <f t="shared" si="11"/>
        <v>哑资源设备_143</v>
      </c>
      <c r="G146" s="10" t="s">
        <v>406</v>
      </c>
      <c r="H146" s="3" t="str">
        <f>"检测机架"&amp;INDEX([1]机架!$D:$D,C146+3)&amp;IF(D146&lt;&gt;"","和"&amp;INDEX([1]机架!$D:$D,D146+3),"")&amp;"的数据"</f>
        <v>检测机架淄博中心路の机架-18和淄博柳泉路の机架-1的数据</v>
      </c>
      <c r="I146" s="3">
        <f>INDEX([1]机架!$C:$C,C146+3)</f>
        <v>3703001233</v>
      </c>
      <c r="J146" s="3">
        <f>IF(D146&lt;&gt;"",INDEX([1]机架!$C:$C,D146+3),0)</f>
        <v>3703002111</v>
      </c>
    </row>
    <row r="147" spans="1:10" ht="16.5" x14ac:dyDescent="0.2">
      <c r="A147" s="3" t="s">
        <v>393</v>
      </c>
      <c r="B147" s="3">
        <v>144</v>
      </c>
      <c r="C147" s="3">
        <f t="shared" si="9"/>
        <v>287</v>
      </c>
      <c r="D147" s="3">
        <f t="shared" si="10"/>
        <v>288</v>
      </c>
      <c r="E147" s="3" t="str">
        <f t="shared" si="8"/>
        <v>dump:2112003073&amp;3112003073</v>
      </c>
      <c r="F147" s="3" t="str">
        <f t="shared" si="11"/>
        <v>哑资源设备_144</v>
      </c>
      <c r="G147" s="10" t="s">
        <v>406</v>
      </c>
      <c r="H147" s="3" t="str">
        <f>"检测机架"&amp;INDEX([1]机架!$D:$D,C147+3)&amp;IF(D147&lt;&gt;"","和"&amp;INDEX([1]机架!$D:$D,D147+3),"")&amp;"的数据"</f>
        <v>检测机架淄博柳泉路の机架-2和淄博柳泉路の机架-3的数据</v>
      </c>
      <c r="I147" s="3">
        <f>INDEX([1]机架!$C:$C,C147+3)</f>
        <v>3703002112</v>
      </c>
      <c r="J147" s="3">
        <f>IF(D147&lt;&gt;"",INDEX([1]机架!$C:$C,D147+3),0)</f>
        <v>3703002113</v>
      </c>
    </row>
    <row r="148" spans="1:10" ht="16.5" x14ac:dyDescent="0.2">
      <c r="A148" s="3" t="s">
        <v>393</v>
      </c>
      <c r="B148" s="3">
        <v>145</v>
      </c>
      <c r="C148" s="3">
        <f t="shared" si="9"/>
        <v>289</v>
      </c>
      <c r="D148" s="3">
        <f t="shared" si="10"/>
        <v>290</v>
      </c>
      <c r="E148" s="3" t="str">
        <f t="shared" si="8"/>
        <v>dump:1212003073&amp;2212003073</v>
      </c>
      <c r="F148" s="3" t="str">
        <f t="shared" si="11"/>
        <v>哑资源设备_145</v>
      </c>
      <c r="G148" s="10" t="s">
        <v>406</v>
      </c>
      <c r="H148" s="3" t="str">
        <f>"检测机架"&amp;INDEX([1]机架!$D:$D,C148+3)&amp;IF(D148&lt;&gt;"","和"&amp;INDEX([1]机架!$D:$D,D148+3),"")&amp;"的数据"</f>
        <v>检测机架淄博柳泉路の机架-4和淄博柳泉路の机架-5的数据</v>
      </c>
      <c r="I148" s="3">
        <f>INDEX([1]机架!$C:$C,C148+3)</f>
        <v>3703002121</v>
      </c>
      <c r="J148" s="3">
        <f>IF(D148&lt;&gt;"",INDEX([1]机架!$C:$C,D148+3),0)</f>
        <v>3703002122</v>
      </c>
    </row>
    <row r="149" spans="1:10" ht="16.5" x14ac:dyDescent="0.2">
      <c r="A149" s="3" t="s">
        <v>393</v>
      </c>
      <c r="B149" s="3">
        <v>146</v>
      </c>
      <c r="C149" s="3">
        <f t="shared" si="9"/>
        <v>291</v>
      </c>
      <c r="D149" s="3">
        <f t="shared" si="10"/>
        <v>292</v>
      </c>
      <c r="E149" s="3" t="str">
        <f t="shared" si="8"/>
        <v>dump:3212003073&amp;1312003073</v>
      </c>
      <c r="F149" s="3" t="str">
        <f t="shared" si="11"/>
        <v>哑资源设备_146</v>
      </c>
      <c r="G149" s="10" t="s">
        <v>406</v>
      </c>
      <c r="H149" s="3" t="str">
        <f>"检测机架"&amp;INDEX([1]机架!$D:$D,C149+3)&amp;IF(D149&lt;&gt;"","和"&amp;INDEX([1]机架!$D:$D,D149+3),"")&amp;"的数据"</f>
        <v>检测机架淄博柳泉路の机架-6和淄博柳泉路の机架-7的数据</v>
      </c>
      <c r="I149" s="3">
        <f>INDEX([1]机架!$C:$C,C149+3)</f>
        <v>3703002123</v>
      </c>
      <c r="J149" s="3">
        <f>IF(D149&lt;&gt;"",INDEX([1]机架!$C:$C,D149+3),0)</f>
        <v>3703002131</v>
      </c>
    </row>
    <row r="150" spans="1:10" ht="16.5" x14ac:dyDescent="0.2">
      <c r="A150" s="3" t="s">
        <v>393</v>
      </c>
      <c r="B150" s="3">
        <v>147</v>
      </c>
      <c r="C150" s="3">
        <f t="shared" si="9"/>
        <v>293</v>
      </c>
      <c r="D150" s="3">
        <f t="shared" si="10"/>
        <v>294</v>
      </c>
      <c r="E150" s="3" t="str">
        <f t="shared" si="8"/>
        <v>dump:2312003073&amp;3312003073</v>
      </c>
      <c r="F150" s="3" t="str">
        <f t="shared" si="11"/>
        <v>哑资源设备_147</v>
      </c>
      <c r="G150" s="10" t="s">
        <v>406</v>
      </c>
      <c r="H150" s="3" t="str">
        <f>"检测机架"&amp;INDEX([1]机架!$D:$D,C150+3)&amp;IF(D150&lt;&gt;"","和"&amp;INDEX([1]机架!$D:$D,D150+3),"")&amp;"的数据"</f>
        <v>检测机架淄博柳泉路の机架-8和淄博柳泉路の机架-9的数据</v>
      </c>
      <c r="I150" s="3">
        <f>INDEX([1]机架!$C:$C,C150+3)</f>
        <v>3703002132</v>
      </c>
      <c r="J150" s="3">
        <f>IF(D150&lt;&gt;"",INDEX([1]机架!$C:$C,D150+3),0)</f>
        <v>3703002133</v>
      </c>
    </row>
    <row r="151" spans="1:10" ht="16.5" x14ac:dyDescent="0.2">
      <c r="A151" s="3" t="s">
        <v>393</v>
      </c>
      <c r="B151" s="3">
        <v>148</v>
      </c>
      <c r="C151" s="3">
        <f t="shared" si="9"/>
        <v>295</v>
      </c>
      <c r="D151" s="3">
        <f t="shared" si="10"/>
        <v>296</v>
      </c>
      <c r="E151" s="3" t="str">
        <f t="shared" si="8"/>
        <v>dump:1113003073&amp;2113003073</v>
      </c>
      <c r="F151" s="3" t="str">
        <f t="shared" si="11"/>
        <v>哑资源设备_148</v>
      </c>
      <c r="G151" s="10" t="s">
        <v>406</v>
      </c>
      <c r="H151" s="3" t="str">
        <f>"检测机架"&amp;INDEX([1]机架!$D:$D,C151+3)&amp;IF(D151&lt;&gt;"","和"&amp;INDEX([1]机架!$D:$D,D151+3),"")&amp;"的数据"</f>
        <v>检测机架淄博人民路の机架-1和淄博人民路の机架-2的数据</v>
      </c>
      <c r="I151" s="3">
        <f>INDEX([1]机架!$C:$C,C151+3)</f>
        <v>3703003111</v>
      </c>
      <c r="J151" s="3">
        <f>IF(D151&lt;&gt;"",INDEX([1]机架!$C:$C,D151+3),0)</f>
        <v>3703003112</v>
      </c>
    </row>
    <row r="152" spans="1:10" ht="16.5" x14ac:dyDescent="0.2">
      <c r="A152" s="3" t="s">
        <v>393</v>
      </c>
      <c r="B152" s="3">
        <v>149</v>
      </c>
      <c r="C152" s="3">
        <f t="shared" si="9"/>
        <v>297</v>
      </c>
      <c r="D152" s="3">
        <f t="shared" si="10"/>
        <v>298</v>
      </c>
      <c r="E152" s="3" t="str">
        <f t="shared" si="8"/>
        <v>dump:3113003073&amp;1213003073</v>
      </c>
      <c r="F152" s="3" t="str">
        <f t="shared" si="11"/>
        <v>哑资源设备_149</v>
      </c>
      <c r="G152" s="10" t="s">
        <v>406</v>
      </c>
      <c r="H152" s="3" t="str">
        <f>"检测机架"&amp;INDEX([1]机架!$D:$D,C152+3)&amp;IF(D152&lt;&gt;"","和"&amp;INDEX([1]机架!$D:$D,D152+3),"")&amp;"的数据"</f>
        <v>检测机架淄博人民路の机架-3和淄博人民路の机架-4的数据</v>
      </c>
      <c r="I152" s="3">
        <f>INDEX([1]机架!$C:$C,C152+3)</f>
        <v>3703003113</v>
      </c>
      <c r="J152" s="3">
        <f>IF(D152&lt;&gt;"",INDEX([1]机架!$C:$C,D152+3),0)</f>
        <v>3703003121</v>
      </c>
    </row>
    <row r="153" spans="1:10" ht="16.5" x14ac:dyDescent="0.2">
      <c r="A153" s="3" t="s">
        <v>393</v>
      </c>
      <c r="B153" s="3">
        <v>150</v>
      </c>
      <c r="C153" s="3">
        <f t="shared" si="9"/>
        <v>299</v>
      </c>
      <c r="D153" s="3">
        <f t="shared" si="10"/>
        <v>300</v>
      </c>
      <c r="E153" s="3" t="str">
        <f t="shared" si="8"/>
        <v>dump:2213003073&amp;3213003073</v>
      </c>
      <c r="F153" s="3" t="str">
        <f t="shared" si="11"/>
        <v>哑资源设备_150</v>
      </c>
      <c r="G153" s="10" t="s">
        <v>406</v>
      </c>
      <c r="H153" s="3" t="str">
        <f>"检测机架"&amp;INDEX([1]机架!$D:$D,C153+3)&amp;IF(D153&lt;&gt;"","和"&amp;INDEX([1]机架!$D:$D,D153+3),"")&amp;"的数据"</f>
        <v>检测机架淄博人民路の机架-5和淄博人民路の机架-6的数据</v>
      </c>
      <c r="I153" s="3">
        <f>INDEX([1]机架!$C:$C,C153+3)</f>
        <v>3703003122</v>
      </c>
      <c r="J153" s="3">
        <f>IF(D153&lt;&gt;"",INDEX([1]机架!$C:$C,D153+3),0)</f>
        <v>3703003123</v>
      </c>
    </row>
    <row r="154" spans="1:10" ht="16.5" x14ac:dyDescent="0.2">
      <c r="A154" s="3" t="s">
        <v>393</v>
      </c>
      <c r="B154" s="3">
        <v>151</v>
      </c>
      <c r="C154" s="3">
        <f t="shared" si="9"/>
        <v>301</v>
      </c>
      <c r="D154" s="3">
        <f t="shared" si="10"/>
        <v>302</v>
      </c>
      <c r="E154" s="3" t="str">
        <f t="shared" si="8"/>
        <v>dump:1313003073&amp;2313003073</v>
      </c>
      <c r="F154" s="3" t="str">
        <f t="shared" si="11"/>
        <v>哑资源设备_151</v>
      </c>
      <c r="G154" s="10" t="s">
        <v>406</v>
      </c>
      <c r="H154" s="3" t="str">
        <f>"检测机架"&amp;INDEX([1]机架!$D:$D,C154+3)&amp;IF(D154&lt;&gt;"","和"&amp;INDEX([1]机架!$D:$D,D154+3),"")&amp;"的数据"</f>
        <v>检测机架淄博人民路の机架-7和淄博人民路の机架-8的数据</v>
      </c>
      <c r="I154" s="3">
        <f>INDEX([1]机架!$C:$C,C154+3)</f>
        <v>3703003131</v>
      </c>
      <c r="J154" s="3">
        <f>IF(D154&lt;&gt;"",INDEX([1]机架!$C:$C,D154+3),0)</f>
        <v>3703003132</v>
      </c>
    </row>
    <row r="155" spans="1:10" ht="16.5" x14ac:dyDescent="0.2">
      <c r="A155" s="3" t="s">
        <v>393</v>
      </c>
      <c r="B155" s="3">
        <v>152</v>
      </c>
      <c r="C155" s="3">
        <f t="shared" si="9"/>
        <v>303</v>
      </c>
      <c r="D155" s="3">
        <f t="shared" si="10"/>
        <v>304</v>
      </c>
      <c r="E155" s="3" t="str">
        <f t="shared" si="8"/>
        <v>dump:3313003073&amp;1114003073</v>
      </c>
      <c r="F155" s="3" t="str">
        <f t="shared" si="11"/>
        <v>哑资源设备_152</v>
      </c>
      <c r="G155" s="10" t="s">
        <v>406</v>
      </c>
      <c r="H155" s="3" t="str">
        <f>"检测机架"&amp;INDEX([1]机架!$D:$D,C155+3)&amp;IF(D155&lt;&gt;"","和"&amp;INDEX([1]机架!$D:$D,D155+3),"")&amp;"的数据"</f>
        <v>检测机架淄博人民路の机架-9和淄博潘庄の机架-1的数据</v>
      </c>
      <c r="I155" s="3">
        <f>INDEX([1]机架!$C:$C,C155+3)</f>
        <v>3703003133</v>
      </c>
      <c r="J155" s="3">
        <f>IF(D155&lt;&gt;"",INDEX([1]机架!$C:$C,D155+3),0)</f>
        <v>3703004111</v>
      </c>
    </row>
    <row r="156" spans="1:10" ht="16.5" x14ac:dyDescent="0.2">
      <c r="A156" s="3" t="s">
        <v>393</v>
      </c>
      <c r="B156" s="3">
        <v>153</v>
      </c>
      <c r="C156" s="3">
        <f t="shared" si="9"/>
        <v>305</v>
      </c>
      <c r="D156" s="3">
        <f t="shared" si="10"/>
        <v>306</v>
      </c>
      <c r="E156" s="3" t="str">
        <f t="shared" si="8"/>
        <v>dump:2114003073&amp;3114003073</v>
      </c>
      <c r="F156" s="3" t="str">
        <f t="shared" si="11"/>
        <v>哑资源设备_153</v>
      </c>
      <c r="G156" s="10" t="s">
        <v>406</v>
      </c>
      <c r="H156" s="3" t="str">
        <f>"检测机架"&amp;INDEX([1]机架!$D:$D,C156+3)&amp;IF(D156&lt;&gt;"","和"&amp;INDEX([1]机架!$D:$D,D156+3),"")&amp;"的数据"</f>
        <v>检测机架淄博潘庄の机架-2和淄博潘庄の机架-3的数据</v>
      </c>
      <c r="I156" s="3">
        <f>INDEX([1]机架!$C:$C,C156+3)</f>
        <v>3703004112</v>
      </c>
      <c r="J156" s="3">
        <f>IF(D156&lt;&gt;"",INDEX([1]机架!$C:$C,D156+3),0)</f>
        <v>3703004113</v>
      </c>
    </row>
    <row r="157" spans="1:10" ht="16.5" x14ac:dyDescent="0.2">
      <c r="A157" s="3" t="s">
        <v>393</v>
      </c>
      <c r="B157" s="3">
        <v>154</v>
      </c>
      <c r="C157" s="3">
        <f t="shared" si="9"/>
        <v>307</v>
      </c>
      <c r="D157" s="3">
        <f t="shared" si="10"/>
        <v>308</v>
      </c>
      <c r="E157" s="3" t="str">
        <f t="shared" si="8"/>
        <v>dump:1214003073&amp;2214003073</v>
      </c>
      <c r="F157" s="3" t="str">
        <f t="shared" si="11"/>
        <v>哑资源设备_154</v>
      </c>
      <c r="G157" s="10" t="s">
        <v>406</v>
      </c>
      <c r="H157" s="3" t="str">
        <f>"检测机架"&amp;INDEX([1]机架!$D:$D,C157+3)&amp;IF(D157&lt;&gt;"","和"&amp;INDEX([1]机架!$D:$D,D157+3),"")&amp;"的数据"</f>
        <v>检测机架淄博潘庄の机架-4和淄博潘庄の机架-5的数据</v>
      </c>
      <c r="I157" s="3">
        <f>INDEX([1]机架!$C:$C,C157+3)</f>
        <v>3703004121</v>
      </c>
      <c r="J157" s="3">
        <f>IF(D157&lt;&gt;"",INDEX([1]机架!$C:$C,D157+3),0)</f>
        <v>3703004122</v>
      </c>
    </row>
    <row r="158" spans="1:10" ht="16.5" x14ac:dyDescent="0.2">
      <c r="A158" s="3" t="s">
        <v>393</v>
      </c>
      <c r="B158" s="3">
        <v>155</v>
      </c>
      <c r="C158" s="3">
        <f t="shared" si="9"/>
        <v>309</v>
      </c>
      <c r="D158" s="3">
        <f t="shared" si="10"/>
        <v>310</v>
      </c>
      <c r="E158" s="3" t="str">
        <f t="shared" si="8"/>
        <v>dump:3214003073&amp;1314003073</v>
      </c>
      <c r="F158" s="3" t="str">
        <f t="shared" si="11"/>
        <v>哑资源设备_155</v>
      </c>
      <c r="G158" s="10" t="s">
        <v>406</v>
      </c>
      <c r="H158" s="3" t="str">
        <f>"检测机架"&amp;INDEX([1]机架!$D:$D,C158+3)&amp;IF(D158&lt;&gt;"","和"&amp;INDEX([1]机架!$D:$D,D158+3),"")&amp;"的数据"</f>
        <v>检测机架淄博潘庄の机架-6和淄博潘庄の机架-7的数据</v>
      </c>
      <c r="I158" s="3">
        <f>INDEX([1]机架!$C:$C,C158+3)</f>
        <v>3703004123</v>
      </c>
      <c r="J158" s="3">
        <f>IF(D158&lt;&gt;"",INDEX([1]机架!$C:$C,D158+3),0)</f>
        <v>3703004131</v>
      </c>
    </row>
    <row r="159" spans="1:10" ht="16.5" x14ac:dyDescent="0.2">
      <c r="A159" s="3" t="s">
        <v>393</v>
      </c>
      <c r="B159" s="3">
        <v>156</v>
      </c>
      <c r="C159" s="3">
        <f t="shared" si="9"/>
        <v>311</v>
      </c>
      <c r="D159" s="3">
        <f t="shared" si="10"/>
        <v>312</v>
      </c>
      <c r="E159" s="3" t="str">
        <f t="shared" si="8"/>
        <v>dump:2314003073&amp;3314003073</v>
      </c>
      <c r="F159" s="3" t="str">
        <f t="shared" si="11"/>
        <v>哑资源设备_156</v>
      </c>
      <c r="G159" s="10" t="s">
        <v>406</v>
      </c>
      <c r="H159" s="3" t="str">
        <f>"检测机架"&amp;INDEX([1]机架!$D:$D,C159+3)&amp;IF(D159&lt;&gt;"","和"&amp;INDEX([1]机架!$D:$D,D159+3),"")&amp;"的数据"</f>
        <v>检测机架淄博潘庄の机架-8和淄博潘庄の机架-9的数据</v>
      </c>
      <c r="I159" s="3">
        <f>INDEX([1]机架!$C:$C,C159+3)</f>
        <v>3703004132</v>
      </c>
      <c r="J159" s="3">
        <f>IF(D159&lt;&gt;"",INDEX([1]机架!$C:$C,D159+3),0)</f>
        <v>3703004133</v>
      </c>
    </row>
    <row r="160" spans="1:10" ht="16.5" x14ac:dyDescent="0.2">
      <c r="A160" s="3" t="s">
        <v>393</v>
      </c>
      <c r="B160" s="3">
        <v>157</v>
      </c>
      <c r="C160" s="3">
        <f t="shared" si="9"/>
        <v>313</v>
      </c>
      <c r="D160" s="3">
        <f t="shared" si="10"/>
        <v>314</v>
      </c>
      <c r="E160" s="3" t="str">
        <f t="shared" si="8"/>
        <v>dump:1115003073&amp;2115003073</v>
      </c>
      <c r="F160" s="3" t="str">
        <f t="shared" si="11"/>
        <v>哑资源设备_157</v>
      </c>
      <c r="G160" s="10" t="s">
        <v>406</v>
      </c>
      <c r="H160" s="3" t="str">
        <f>"检测机架"&amp;INDEX([1]机架!$D:$D,C160+3)&amp;IF(D160&lt;&gt;"","和"&amp;INDEX([1]机架!$D:$D,D160+3),"")&amp;"的数据"</f>
        <v>检测机架沂源振兴路324局の机架-1和沂源振兴路324局の机架-2的数据</v>
      </c>
      <c r="I160" s="3">
        <f>INDEX([1]机架!$C:$C,C160+3)</f>
        <v>3703005111</v>
      </c>
      <c r="J160" s="3">
        <f>IF(D160&lt;&gt;"",INDEX([1]机架!$C:$C,D160+3),0)</f>
        <v>3703005112</v>
      </c>
    </row>
    <row r="161" spans="1:10" ht="16.5" x14ac:dyDescent="0.2">
      <c r="A161" s="3" t="s">
        <v>393</v>
      </c>
      <c r="B161" s="3">
        <v>158</v>
      </c>
      <c r="C161" s="3">
        <f t="shared" si="9"/>
        <v>315</v>
      </c>
      <c r="D161" s="3">
        <f t="shared" si="10"/>
        <v>316</v>
      </c>
      <c r="E161" s="3" t="str">
        <f t="shared" si="8"/>
        <v>dump:3115003073&amp;1215003073</v>
      </c>
      <c r="F161" s="3" t="str">
        <f t="shared" si="11"/>
        <v>哑资源设备_158</v>
      </c>
      <c r="G161" s="10" t="s">
        <v>406</v>
      </c>
      <c r="H161" s="3" t="str">
        <f>"检测机架"&amp;INDEX([1]机架!$D:$D,C161+3)&amp;IF(D161&lt;&gt;"","和"&amp;INDEX([1]机架!$D:$D,D161+3),"")&amp;"的数据"</f>
        <v>检测机架沂源振兴路324局の机架-3和沂源振兴路324局の机架-4的数据</v>
      </c>
      <c r="I161" s="3">
        <f>INDEX([1]机架!$C:$C,C161+3)</f>
        <v>3703005113</v>
      </c>
      <c r="J161" s="3">
        <f>IF(D161&lt;&gt;"",INDEX([1]机架!$C:$C,D161+3),0)</f>
        <v>3703005121</v>
      </c>
    </row>
    <row r="162" spans="1:10" ht="16.5" x14ac:dyDescent="0.2">
      <c r="A162" s="3" t="s">
        <v>393</v>
      </c>
      <c r="B162" s="3">
        <v>159</v>
      </c>
      <c r="C162" s="3">
        <f t="shared" si="9"/>
        <v>317</v>
      </c>
      <c r="D162" s="3">
        <f t="shared" si="10"/>
        <v>318</v>
      </c>
      <c r="E162" s="3" t="str">
        <f t="shared" si="8"/>
        <v>dump:2215003073&amp;3215003073</v>
      </c>
      <c r="F162" s="3" t="str">
        <f t="shared" si="11"/>
        <v>哑资源设备_159</v>
      </c>
      <c r="G162" s="10" t="s">
        <v>406</v>
      </c>
      <c r="H162" s="3" t="str">
        <f>"检测机架"&amp;INDEX([1]机架!$D:$D,C162+3)&amp;IF(D162&lt;&gt;"","和"&amp;INDEX([1]机架!$D:$D,D162+3),"")&amp;"的数据"</f>
        <v>检测机架沂源振兴路324局の机架-5和沂源振兴路324局の机架-6的数据</v>
      </c>
      <c r="I162" s="3">
        <f>INDEX([1]机架!$C:$C,C162+3)</f>
        <v>3703005122</v>
      </c>
      <c r="J162" s="3">
        <f>IF(D162&lt;&gt;"",INDEX([1]机架!$C:$C,D162+3),0)</f>
        <v>3703005123</v>
      </c>
    </row>
    <row r="163" spans="1:10" ht="16.5" x14ac:dyDescent="0.2">
      <c r="A163" s="3" t="s">
        <v>393</v>
      </c>
      <c r="B163" s="3">
        <v>160</v>
      </c>
      <c r="C163" s="3">
        <f t="shared" si="9"/>
        <v>319</v>
      </c>
      <c r="D163" s="3">
        <f t="shared" si="10"/>
        <v>320</v>
      </c>
      <c r="E163" s="3" t="str">
        <f t="shared" si="8"/>
        <v>dump:1315003073&amp;2315003073</v>
      </c>
      <c r="F163" s="3" t="str">
        <f t="shared" si="11"/>
        <v>哑资源设备_160</v>
      </c>
      <c r="G163" s="10" t="s">
        <v>406</v>
      </c>
      <c r="H163" s="3" t="str">
        <f>"检测机架"&amp;INDEX([1]机架!$D:$D,C163+3)&amp;IF(D163&lt;&gt;"","和"&amp;INDEX([1]机架!$D:$D,D163+3),"")&amp;"的数据"</f>
        <v>检测机架沂源振兴路324局の机架-7和沂源振兴路324局の机架-8的数据</v>
      </c>
      <c r="I163" s="3">
        <f>INDEX([1]机架!$C:$C,C163+3)</f>
        <v>3703005131</v>
      </c>
      <c r="J163" s="3">
        <f>IF(D163&lt;&gt;"",INDEX([1]机架!$C:$C,D163+3),0)</f>
        <v>3703005132</v>
      </c>
    </row>
    <row r="164" spans="1:10" ht="16.5" x14ac:dyDescent="0.2">
      <c r="A164" s="3" t="s">
        <v>393</v>
      </c>
      <c r="B164" s="3">
        <v>161</v>
      </c>
      <c r="C164" s="3">
        <f t="shared" si="9"/>
        <v>321</v>
      </c>
      <c r="D164" s="3">
        <f t="shared" si="10"/>
        <v>322</v>
      </c>
      <c r="E164" s="3" t="str">
        <f t="shared" si="8"/>
        <v>dump:3315003073&amp;1116003073</v>
      </c>
      <c r="F164" s="3" t="str">
        <f t="shared" si="11"/>
        <v>哑资源设备_161</v>
      </c>
      <c r="G164" s="10" t="s">
        <v>406</v>
      </c>
      <c r="H164" s="3" t="str">
        <f>"检测机架"&amp;INDEX([1]机架!$D:$D,C164+3)&amp;IF(D164&lt;&gt;"","和"&amp;INDEX([1]机架!$D:$D,D164+3),"")&amp;"的数据"</f>
        <v>检测机架沂源振兴路324局の机架-9和博山沿河西路の机架-1的数据</v>
      </c>
      <c r="I164" s="3">
        <f>INDEX([1]机架!$C:$C,C164+3)</f>
        <v>3703005133</v>
      </c>
      <c r="J164" s="3">
        <f>IF(D164&lt;&gt;"",INDEX([1]机架!$C:$C,D164+3),0)</f>
        <v>3703006111</v>
      </c>
    </row>
    <row r="165" spans="1:10" ht="16.5" x14ac:dyDescent="0.2">
      <c r="A165" s="3" t="s">
        <v>393</v>
      </c>
      <c r="B165" s="3">
        <v>162</v>
      </c>
      <c r="C165" s="3">
        <f t="shared" si="9"/>
        <v>323</v>
      </c>
      <c r="D165" s="3">
        <f t="shared" si="10"/>
        <v>324</v>
      </c>
      <c r="E165" s="3" t="str">
        <f t="shared" si="8"/>
        <v>dump:2116003073&amp;3116003073</v>
      </c>
      <c r="F165" s="3" t="str">
        <f t="shared" si="11"/>
        <v>哑资源设备_162</v>
      </c>
      <c r="G165" s="10" t="s">
        <v>406</v>
      </c>
      <c r="H165" s="3" t="str">
        <f>"检测机架"&amp;INDEX([1]机架!$D:$D,C165+3)&amp;IF(D165&lt;&gt;"","和"&amp;INDEX([1]机架!$D:$D,D165+3),"")&amp;"的数据"</f>
        <v>检测机架博山沿河西路の机架-2和博山沿河西路の机架-3的数据</v>
      </c>
      <c r="I165" s="3">
        <f>INDEX([1]机架!$C:$C,C165+3)</f>
        <v>3703006112</v>
      </c>
      <c r="J165" s="3">
        <f>IF(D165&lt;&gt;"",INDEX([1]机架!$C:$C,D165+3),0)</f>
        <v>3703006113</v>
      </c>
    </row>
    <row r="166" spans="1:10" ht="16.5" x14ac:dyDescent="0.2">
      <c r="A166" s="3" t="s">
        <v>393</v>
      </c>
      <c r="B166" s="3">
        <v>163</v>
      </c>
      <c r="C166" s="3">
        <f t="shared" si="9"/>
        <v>325</v>
      </c>
      <c r="D166" s="3">
        <f t="shared" si="10"/>
        <v>326</v>
      </c>
      <c r="E166" s="3" t="str">
        <f t="shared" si="8"/>
        <v>dump:1216003073&amp;2216003073</v>
      </c>
      <c r="F166" s="3" t="str">
        <f t="shared" si="11"/>
        <v>哑资源设备_163</v>
      </c>
      <c r="G166" s="10" t="s">
        <v>406</v>
      </c>
      <c r="H166" s="3" t="str">
        <f>"检测机架"&amp;INDEX([1]机架!$D:$D,C166+3)&amp;IF(D166&lt;&gt;"","和"&amp;INDEX([1]机架!$D:$D,D166+3),"")&amp;"的数据"</f>
        <v>检测机架博山沿河西路の机架-4和博山沿河西路の机架-5的数据</v>
      </c>
      <c r="I166" s="3">
        <f>INDEX([1]机架!$C:$C,C166+3)</f>
        <v>3703006121</v>
      </c>
      <c r="J166" s="3">
        <f>IF(D166&lt;&gt;"",INDEX([1]机架!$C:$C,D166+3),0)</f>
        <v>3703006122</v>
      </c>
    </row>
    <row r="167" spans="1:10" ht="16.5" x14ac:dyDescent="0.2">
      <c r="A167" s="3" t="s">
        <v>393</v>
      </c>
      <c r="B167" s="3">
        <v>164</v>
      </c>
      <c r="C167" s="3">
        <f t="shared" si="9"/>
        <v>327</v>
      </c>
      <c r="D167" s="3">
        <f t="shared" si="10"/>
        <v>328</v>
      </c>
      <c r="E167" s="3" t="str">
        <f t="shared" si="8"/>
        <v>dump:3216003073&amp;1316003073</v>
      </c>
      <c r="F167" s="3" t="str">
        <f t="shared" si="11"/>
        <v>哑资源设备_164</v>
      </c>
      <c r="G167" s="10" t="s">
        <v>406</v>
      </c>
      <c r="H167" s="3" t="str">
        <f>"检测机架"&amp;INDEX([1]机架!$D:$D,C167+3)&amp;IF(D167&lt;&gt;"","和"&amp;INDEX([1]机架!$D:$D,D167+3),"")&amp;"的数据"</f>
        <v>检测机架博山沿河西路の机架-6和博山沿河西路の机架-7的数据</v>
      </c>
      <c r="I167" s="3">
        <f>INDEX([1]机架!$C:$C,C167+3)</f>
        <v>3703006123</v>
      </c>
      <c r="J167" s="3">
        <f>IF(D167&lt;&gt;"",INDEX([1]机架!$C:$C,D167+3),0)</f>
        <v>3703006131</v>
      </c>
    </row>
    <row r="168" spans="1:10" ht="16.5" x14ac:dyDescent="0.2">
      <c r="A168" s="3" t="s">
        <v>393</v>
      </c>
      <c r="B168" s="3">
        <v>165</v>
      </c>
      <c r="C168" s="3">
        <f t="shared" si="9"/>
        <v>329</v>
      </c>
      <c r="D168" s="3">
        <f t="shared" si="10"/>
        <v>330</v>
      </c>
      <c r="E168" s="3" t="str">
        <f t="shared" si="8"/>
        <v>dump:2316003073&amp;3316003073</v>
      </c>
      <c r="F168" s="3" t="str">
        <f t="shared" si="11"/>
        <v>哑资源设备_165</v>
      </c>
      <c r="G168" s="10" t="s">
        <v>406</v>
      </c>
      <c r="H168" s="3" t="str">
        <f>"检测机架"&amp;INDEX([1]机架!$D:$D,C168+3)&amp;IF(D168&lt;&gt;"","和"&amp;INDEX([1]机架!$D:$D,D168+3),"")&amp;"的数据"</f>
        <v>检测机架博山沿河西路の机架-8和博山沿河西路の机架-9的数据</v>
      </c>
      <c r="I168" s="3">
        <f>INDEX([1]机架!$C:$C,C168+3)</f>
        <v>3703006132</v>
      </c>
      <c r="J168" s="3">
        <f>IF(D168&lt;&gt;"",INDEX([1]机架!$C:$C,D168+3),0)</f>
        <v>3703006133</v>
      </c>
    </row>
    <row r="169" spans="1:10" ht="16.5" x14ac:dyDescent="0.2">
      <c r="A169" s="3" t="s">
        <v>393</v>
      </c>
      <c r="B169" s="3">
        <v>166</v>
      </c>
      <c r="C169" s="3">
        <f t="shared" si="9"/>
        <v>331</v>
      </c>
      <c r="D169" s="3">
        <f t="shared" si="10"/>
        <v>332</v>
      </c>
      <c r="E169" s="3" t="str">
        <f t="shared" si="8"/>
        <v>dump:1117003073&amp;2117003073</v>
      </c>
      <c r="F169" s="3" t="str">
        <f t="shared" si="11"/>
        <v>哑资源设备_166</v>
      </c>
      <c r="G169" s="10" t="s">
        <v>406</v>
      </c>
      <c r="H169" s="3" t="str">
        <f>"检测机架"&amp;INDEX([1]机架!$D:$D,C169+3)&amp;IF(D169&lt;&gt;"","和"&amp;INDEX([1]机架!$D:$D,D169+3),"")&amp;"的数据"</f>
        <v>检测机架临淄区南二路基站の机架-1和临淄区南二路基站の机架-2的数据</v>
      </c>
      <c r="I169" s="3">
        <f>INDEX([1]机架!$C:$C,C169+3)</f>
        <v>3703007111</v>
      </c>
      <c r="J169" s="3">
        <f>IF(D169&lt;&gt;"",INDEX([1]机架!$C:$C,D169+3),0)</f>
        <v>3703007112</v>
      </c>
    </row>
    <row r="170" spans="1:10" ht="16.5" x14ac:dyDescent="0.2">
      <c r="A170" s="3" t="s">
        <v>393</v>
      </c>
      <c r="B170" s="3">
        <v>167</v>
      </c>
      <c r="C170" s="3">
        <f t="shared" si="9"/>
        <v>333</v>
      </c>
      <c r="D170" s="3">
        <f t="shared" si="10"/>
        <v>334</v>
      </c>
      <c r="E170" s="3" t="str">
        <f t="shared" si="8"/>
        <v>dump:3117003073&amp;1217003073</v>
      </c>
      <c r="F170" s="3" t="str">
        <f t="shared" si="11"/>
        <v>哑资源设备_167</v>
      </c>
      <c r="G170" s="10" t="s">
        <v>406</v>
      </c>
      <c r="H170" s="3" t="str">
        <f>"检测机架"&amp;INDEX([1]机架!$D:$D,C170+3)&amp;IF(D170&lt;&gt;"","和"&amp;INDEX([1]机架!$D:$D,D170+3),"")&amp;"的数据"</f>
        <v>检测机架临淄区南二路基站の机架-3和临淄区南二路基站の机架-4的数据</v>
      </c>
      <c r="I170" s="3">
        <f>INDEX([1]机架!$C:$C,C170+3)</f>
        <v>3703007113</v>
      </c>
      <c r="J170" s="3">
        <f>IF(D170&lt;&gt;"",INDEX([1]机架!$C:$C,D170+3),0)</f>
        <v>3703007121</v>
      </c>
    </row>
    <row r="171" spans="1:10" ht="16.5" x14ac:dyDescent="0.2">
      <c r="A171" s="3" t="s">
        <v>393</v>
      </c>
      <c r="B171" s="3">
        <v>168</v>
      </c>
      <c r="C171" s="3">
        <f t="shared" si="9"/>
        <v>335</v>
      </c>
      <c r="D171" s="3">
        <f t="shared" si="10"/>
        <v>336</v>
      </c>
      <c r="E171" s="3" t="str">
        <f t="shared" si="8"/>
        <v>dump:2217003073&amp;3217003073</v>
      </c>
      <c r="F171" s="3" t="str">
        <f t="shared" si="11"/>
        <v>哑资源设备_168</v>
      </c>
      <c r="G171" s="10" t="s">
        <v>406</v>
      </c>
      <c r="H171" s="3" t="str">
        <f>"检测机架"&amp;INDEX([1]机架!$D:$D,C171+3)&amp;IF(D171&lt;&gt;"","和"&amp;INDEX([1]机架!$D:$D,D171+3),"")&amp;"的数据"</f>
        <v>检测机架临淄区南二路基站の机架-5和临淄区南二路基站の机架-6的数据</v>
      </c>
      <c r="I171" s="3">
        <f>INDEX([1]机架!$C:$C,C171+3)</f>
        <v>3703007122</v>
      </c>
      <c r="J171" s="3">
        <f>IF(D171&lt;&gt;"",INDEX([1]机架!$C:$C,D171+3),0)</f>
        <v>3703007123</v>
      </c>
    </row>
    <row r="172" spans="1:10" ht="16.5" x14ac:dyDescent="0.2">
      <c r="A172" s="3" t="s">
        <v>393</v>
      </c>
      <c r="B172" s="3">
        <v>169</v>
      </c>
      <c r="C172" s="3">
        <f t="shared" si="9"/>
        <v>337</v>
      </c>
      <c r="D172" s="3">
        <f t="shared" si="10"/>
        <v>338</v>
      </c>
      <c r="E172" s="3" t="str">
        <f t="shared" si="8"/>
        <v>dump:1317003073&amp;2317003073</v>
      </c>
      <c r="F172" s="3" t="str">
        <f t="shared" si="11"/>
        <v>哑资源设备_169</v>
      </c>
      <c r="G172" s="10" t="s">
        <v>406</v>
      </c>
      <c r="H172" s="3" t="str">
        <f>"检测机架"&amp;INDEX([1]机架!$D:$D,C172+3)&amp;IF(D172&lt;&gt;"","和"&amp;INDEX([1]机架!$D:$D,D172+3),"")&amp;"的数据"</f>
        <v>检测机架临淄区南二路基站の机架-7和临淄区南二路基站の机架-8的数据</v>
      </c>
      <c r="I172" s="3">
        <f>INDEX([1]机架!$C:$C,C172+3)</f>
        <v>3703007131</v>
      </c>
      <c r="J172" s="3">
        <f>IF(D172&lt;&gt;"",INDEX([1]机架!$C:$C,D172+3),0)</f>
        <v>3703007132</v>
      </c>
    </row>
    <row r="173" spans="1:10" ht="16.5" x14ac:dyDescent="0.2">
      <c r="A173" s="3" t="s">
        <v>393</v>
      </c>
      <c r="B173" s="3">
        <v>170</v>
      </c>
      <c r="C173" s="3">
        <f t="shared" si="9"/>
        <v>339</v>
      </c>
      <c r="D173" s="3">
        <f t="shared" si="10"/>
        <v>340</v>
      </c>
      <c r="E173" s="3" t="str">
        <f t="shared" si="8"/>
        <v>dump:3317003073&amp;1111004073</v>
      </c>
      <c r="F173" s="3" t="str">
        <f t="shared" si="11"/>
        <v>哑资源设备_170</v>
      </c>
      <c r="G173" s="10" t="s">
        <v>406</v>
      </c>
      <c r="H173" s="3" t="str">
        <f>"检测机架"&amp;INDEX([1]机架!$D:$D,C173+3)&amp;IF(D173&lt;&gt;"","和"&amp;INDEX([1]机架!$D:$D,D173+3),"")&amp;"的数据"</f>
        <v>检测机架临淄区南二路基站の机架-9和枣庄青檀路の机架-1的数据</v>
      </c>
      <c r="I173" s="3">
        <f>INDEX([1]机架!$C:$C,C173+3)</f>
        <v>3703007133</v>
      </c>
      <c r="J173" s="3">
        <f>IF(D173&lt;&gt;"",INDEX([1]机架!$C:$C,D173+3),0)</f>
        <v>3704001111</v>
      </c>
    </row>
    <row r="174" spans="1:10" ht="16.5" x14ac:dyDescent="0.2">
      <c r="A174" s="3" t="s">
        <v>393</v>
      </c>
      <c r="B174" s="3">
        <v>171</v>
      </c>
      <c r="C174" s="3">
        <f t="shared" si="9"/>
        <v>341</v>
      </c>
      <c r="D174" s="3">
        <f t="shared" si="10"/>
        <v>342</v>
      </c>
      <c r="E174" s="3" t="str">
        <f t="shared" si="8"/>
        <v>dump:2111004073&amp;3111004073</v>
      </c>
      <c r="F174" s="3" t="str">
        <f t="shared" si="11"/>
        <v>哑资源设备_171</v>
      </c>
      <c r="G174" s="10" t="s">
        <v>406</v>
      </c>
      <c r="H174" s="3" t="str">
        <f>"检测机架"&amp;INDEX([1]机架!$D:$D,C174+3)&amp;IF(D174&lt;&gt;"","和"&amp;INDEX([1]机架!$D:$D,D174+3),"")&amp;"的数据"</f>
        <v>检测机架枣庄青檀路の机架-2和枣庄青檀路の机架-3的数据</v>
      </c>
      <c r="I174" s="3">
        <f>INDEX([1]机架!$C:$C,C174+3)</f>
        <v>3704001112</v>
      </c>
      <c r="J174" s="3">
        <f>IF(D174&lt;&gt;"",INDEX([1]机架!$C:$C,D174+3),0)</f>
        <v>3704001113</v>
      </c>
    </row>
    <row r="175" spans="1:10" ht="16.5" x14ac:dyDescent="0.2">
      <c r="A175" s="3" t="s">
        <v>393</v>
      </c>
      <c r="B175" s="3">
        <v>172</v>
      </c>
      <c r="C175" s="3">
        <f t="shared" si="9"/>
        <v>343</v>
      </c>
      <c r="D175" s="3">
        <f t="shared" si="10"/>
        <v>344</v>
      </c>
      <c r="E175" s="3" t="str">
        <f t="shared" si="8"/>
        <v>dump:1211004073&amp;2211004073</v>
      </c>
      <c r="F175" s="3" t="str">
        <f t="shared" si="11"/>
        <v>哑资源设备_172</v>
      </c>
      <c r="G175" s="10" t="s">
        <v>406</v>
      </c>
      <c r="H175" s="3" t="str">
        <f>"检测机架"&amp;INDEX([1]机架!$D:$D,C175+3)&amp;IF(D175&lt;&gt;"","和"&amp;INDEX([1]机架!$D:$D,D175+3),"")&amp;"的数据"</f>
        <v>检测机架枣庄青檀路の机架-4和枣庄青檀路の机架-5的数据</v>
      </c>
      <c r="I175" s="3">
        <f>INDEX([1]机架!$C:$C,C175+3)</f>
        <v>3704001121</v>
      </c>
      <c r="J175" s="3">
        <f>IF(D175&lt;&gt;"",INDEX([1]机架!$C:$C,D175+3),0)</f>
        <v>3704001122</v>
      </c>
    </row>
    <row r="176" spans="1:10" ht="16.5" x14ac:dyDescent="0.2">
      <c r="A176" s="3" t="s">
        <v>393</v>
      </c>
      <c r="B176" s="3">
        <v>173</v>
      </c>
      <c r="C176" s="3">
        <f t="shared" si="9"/>
        <v>345</v>
      </c>
      <c r="D176" s="3">
        <f t="shared" si="10"/>
        <v>346</v>
      </c>
      <c r="E176" s="3" t="str">
        <f t="shared" si="8"/>
        <v>dump:3211004073&amp;1311004073</v>
      </c>
      <c r="F176" s="3" t="str">
        <f t="shared" si="11"/>
        <v>哑资源设备_173</v>
      </c>
      <c r="G176" s="10" t="s">
        <v>406</v>
      </c>
      <c r="H176" s="3" t="str">
        <f>"检测机架"&amp;INDEX([1]机架!$D:$D,C176+3)&amp;IF(D176&lt;&gt;"","和"&amp;INDEX([1]机架!$D:$D,D176+3),"")&amp;"的数据"</f>
        <v>检测机架枣庄青檀路の机架-6和枣庄青檀路の机架-7的数据</v>
      </c>
      <c r="I176" s="3">
        <f>INDEX([1]机架!$C:$C,C176+3)</f>
        <v>3704001123</v>
      </c>
      <c r="J176" s="3">
        <f>IF(D176&lt;&gt;"",INDEX([1]机架!$C:$C,D176+3),0)</f>
        <v>3704001131</v>
      </c>
    </row>
    <row r="177" spans="1:10" ht="16.5" x14ac:dyDescent="0.2">
      <c r="A177" s="3" t="s">
        <v>393</v>
      </c>
      <c r="B177" s="3">
        <v>174</v>
      </c>
      <c r="C177" s="3">
        <f t="shared" si="9"/>
        <v>347</v>
      </c>
      <c r="D177" s="3">
        <f t="shared" si="10"/>
        <v>348</v>
      </c>
      <c r="E177" s="3" t="str">
        <f t="shared" si="8"/>
        <v>dump:2311004073&amp;3311004073</v>
      </c>
      <c r="F177" s="3" t="str">
        <f t="shared" si="11"/>
        <v>哑资源设备_174</v>
      </c>
      <c r="G177" s="10" t="s">
        <v>406</v>
      </c>
      <c r="H177" s="3" t="str">
        <f>"检测机架"&amp;INDEX([1]机架!$D:$D,C177+3)&amp;IF(D177&lt;&gt;"","和"&amp;INDEX([1]机架!$D:$D,D177+3),"")&amp;"的数据"</f>
        <v>检测机架枣庄青檀路の机架-8和枣庄青檀路の机架-9的数据</v>
      </c>
      <c r="I177" s="3">
        <f>INDEX([1]机架!$C:$C,C177+3)</f>
        <v>3704001132</v>
      </c>
      <c r="J177" s="3">
        <f>IF(D177&lt;&gt;"",INDEX([1]机架!$C:$C,D177+3),0)</f>
        <v>3704001133</v>
      </c>
    </row>
    <row r="178" spans="1:10" ht="16.5" x14ac:dyDescent="0.2">
      <c r="A178" s="3" t="s">
        <v>393</v>
      </c>
      <c r="B178" s="3">
        <v>175</v>
      </c>
      <c r="C178" s="3">
        <f t="shared" si="9"/>
        <v>349</v>
      </c>
      <c r="D178" s="3">
        <f t="shared" si="10"/>
        <v>350</v>
      </c>
      <c r="E178" s="3" t="str">
        <f t="shared" si="8"/>
        <v>dump:1121004073&amp;2121004073</v>
      </c>
      <c r="F178" s="3" t="str">
        <f t="shared" si="11"/>
        <v>哑资源设备_175</v>
      </c>
      <c r="G178" s="10" t="s">
        <v>406</v>
      </c>
      <c r="H178" s="3" t="str">
        <f>"检测机架"&amp;INDEX([1]机架!$D:$D,C178+3)&amp;IF(D178&lt;&gt;"","和"&amp;INDEX([1]机架!$D:$D,D178+3),"")&amp;"的数据"</f>
        <v>检测机架枣庄青檀路の机架-10和枣庄青檀路の机架-11的数据</v>
      </c>
      <c r="I178" s="3">
        <f>INDEX([1]机架!$C:$C,C178+3)</f>
        <v>3704001211</v>
      </c>
      <c r="J178" s="3">
        <f>IF(D178&lt;&gt;"",INDEX([1]机架!$C:$C,D178+3),0)</f>
        <v>3704001212</v>
      </c>
    </row>
    <row r="179" spans="1:10" ht="16.5" x14ac:dyDescent="0.2">
      <c r="A179" s="3" t="s">
        <v>393</v>
      </c>
      <c r="B179" s="3">
        <v>176</v>
      </c>
      <c r="C179" s="3">
        <f t="shared" si="9"/>
        <v>351</v>
      </c>
      <c r="D179" s="3">
        <f t="shared" si="10"/>
        <v>352</v>
      </c>
      <c r="E179" s="3" t="str">
        <f t="shared" si="8"/>
        <v>dump:3121004073&amp;1221004073</v>
      </c>
      <c r="F179" s="3" t="str">
        <f t="shared" si="11"/>
        <v>哑资源设备_176</v>
      </c>
      <c r="G179" s="10" t="s">
        <v>406</v>
      </c>
      <c r="H179" s="3" t="str">
        <f>"检测机架"&amp;INDEX([1]机架!$D:$D,C179+3)&amp;IF(D179&lt;&gt;"","和"&amp;INDEX([1]机架!$D:$D,D179+3),"")&amp;"的数据"</f>
        <v>检测机架枣庄青檀路の机架-12和枣庄青檀路の机架-13的数据</v>
      </c>
      <c r="I179" s="3">
        <f>INDEX([1]机架!$C:$C,C179+3)</f>
        <v>3704001213</v>
      </c>
      <c r="J179" s="3">
        <f>IF(D179&lt;&gt;"",INDEX([1]机架!$C:$C,D179+3),0)</f>
        <v>3704001221</v>
      </c>
    </row>
    <row r="180" spans="1:10" ht="16.5" x14ac:dyDescent="0.2">
      <c r="A180" s="3" t="s">
        <v>393</v>
      </c>
      <c r="B180" s="3">
        <v>177</v>
      </c>
      <c r="C180" s="3">
        <f t="shared" si="9"/>
        <v>353</v>
      </c>
      <c r="D180" s="3">
        <f t="shared" si="10"/>
        <v>354</v>
      </c>
      <c r="E180" s="3" t="str">
        <f t="shared" si="8"/>
        <v>dump:2221004073&amp;3221004073</v>
      </c>
      <c r="F180" s="3" t="str">
        <f t="shared" si="11"/>
        <v>哑资源设备_177</v>
      </c>
      <c r="G180" s="10" t="s">
        <v>406</v>
      </c>
      <c r="H180" s="3" t="str">
        <f>"检测机架"&amp;INDEX([1]机架!$D:$D,C180+3)&amp;IF(D180&lt;&gt;"","和"&amp;INDEX([1]机架!$D:$D,D180+3),"")&amp;"的数据"</f>
        <v>检测机架枣庄青檀路の机架-14和枣庄青檀路の机架-15的数据</v>
      </c>
      <c r="I180" s="3">
        <f>INDEX([1]机架!$C:$C,C180+3)</f>
        <v>3704001222</v>
      </c>
      <c r="J180" s="3">
        <f>IF(D180&lt;&gt;"",INDEX([1]机架!$C:$C,D180+3),0)</f>
        <v>3704001223</v>
      </c>
    </row>
    <row r="181" spans="1:10" ht="16.5" x14ac:dyDescent="0.2">
      <c r="A181" s="3" t="s">
        <v>393</v>
      </c>
      <c r="B181" s="3">
        <v>178</v>
      </c>
      <c r="C181" s="3">
        <f t="shared" si="9"/>
        <v>355</v>
      </c>
      <c r="D181" s="3">
        <f t="shared" si="10"/>
        <v>356</v>
      </c>
      <c r="E181" s="3" t="str">
        <f t="shared" si="8"/>
        <v>dump:1321004073&amp;2321004073</v>
      </c>
      <c r="F181" s="3" t="str">
        <f t="shared" si="11"/>
        <v>哑资源设备_178</v>
      </c>
      <c r="G181" s="10" t="s">
        <v>406</v>
      </c>
      <c r="H181" s="3" t="str">
        <f>"检测机架"&amp;INDEX([1]机架!$D:$D,C181+3)&amp;IF(D181&lt;&gt;"","和"&amp;INDEX([1]机架!$D:$D,D181+3),"")&amp;"的数据"</f>
        <v>检测机架枣庄青檀路の机架-16和枣庄青檀路の机架-17的数据</v>
      </c>
      <c r="I181" s="3">
        <f>INDEX([1]机架!$C:$C,C181+3)</f>
        <v>3704001231</v>
      </c>
      <c r="J181" s="3">
        <f>IF(D181&lt;&gt;"",INDEX([1]机架!$C:$C,D181+3),0)</f>
        <v>3704001232</v>
      </c>
    </row>
    <row r="182" spans="1:10" ht="16.5" x14ac:dyDescent="0.2">
      <c r="A182" s="3" t="s">
        <v>393</v>
      </c>
      <c r="B182" s="3">
        <v>179</v>
      </c>
      <c r="C182" s="3">
        <f t="shared" si="9"/>
        <v>357</v>
      </c>
      <c r="D182" s="3">
        <f t="shared" si="10"/>
        <v>358</v>
      </c>
      <c r="E182" s="3" t="str">
        <f t="shared" si="8"/>
        <v>dump:3321004073&amp;1112004073</v>
      </c>
      <c r="F182" s="3" t="str">
        <f t="shared" si="11"/>
        <v>哑资源设备_179</v>
      </c>
      <c r="G182" s="10" t="s">
        <v>406</v>
      </c>
      <c r="H182" s="3" t="str">
        <f>"检测机架"&amp;INDEX([1]机架!$D:$D,C182+3)&amp;IF(D182&lt;&gt;"","和"&amp;INDEX([1]机架!$D:$D,D182+3),"")&amp;"的数据"</f>
        <v>检测机架枣庄青檀路の机架-18和枣庄光明西路の机架-1的数据</v>
      </c>
      <c r="I182" s="3">
        <f>INDEX([1]机架!$C:$C,C182+3)</f>
        <v>3704001233</v>
      </c>
      <c r="J182" s="3">
        <f>IF(D182&lt;&gt;"",INDEX([1]机架!$C:$C,D182+3),0)</f>
        <v>3704002111</v>
      </c>
    </row>
    <row r="183" spans="1:10" ht="16.5" x14ac:dyDescent="0.2">
      <c r="A183" s="3" t="s">
        <v>393</v>
      </c>
      <c r="B183" s="3">
        <v>180</v>
      </c>
      <c r="C183" s="3">
        <f t="shared" si="9"/>
        <v>359</v>
      </c>
      <c r="D183" s="3">
        <f t="shared" si="10"/>
        <v>360</v>
      </c>
      <c r="E183" s="3" t="str">
        <f t="shared" si="8"/>
        <v>dump:2112004073&amp;3112004073</v>
      </c>
      <c r="F183" s="3" t="str">
        <f t="shared" si="11"/>
        <v>哑资源设备_180</v>
      </c>
      <c r="G183" s="10" t="s">
        <v>406</v>
      </c>
      <c r="H183" s="3" t="str">
        <f>"检测机架"&amp;INDEX([1]机架!$D:$D,C183+3)&amp;IF(D183&lt;&gt;"","和"&amp;INDEX([1]机架!$D:$D,D183+3),"")&amp;"的数据"</f>
        <v>检测机架枣庄光明西路の机架-2和枣庄光明西路の机架-3的数据</v>
      </c>
      <c r="I183" s="3">
        <f>INDEX([1]机架!$C:$C,C183+3)</f>
        <v>3704002112</v>
      </c>
      <c r="J183" s="3">
        <f>IF(D183&lt;&gt;"",INDEX([1]机架!$C:$C,D183+3),0)</f>
        <v>3704002113</v>
      </c>
    </row>
    <row r="184" spans="1:10" ht="16.5" x14ac:dyDescent="0.2">
      <c r="A184" s="3" t="s">
        <v>393</v>
      </c>
      <c r="B184" s="3">
        <v>181</v>
      </c>
      <c r="C184" s="3">
        <f t="shared" si="9"/>
        <v>361</v>
      </c>
      <c r="D184" s="3">
        <f t="shared" si="10"/>
        <v>362</v>
      </c>
      <c r="E184" s="3" t="str">
        <f t="shared" si="8"/>
        <v>dump:1212004073&amp;2212004073</v>
      </c>
      <c r="F184" s="3" t="str">
        <f t="shared" si="11"/>
        <v>哑资源设备_181</v>
      </c>
      <c r="G184" s="10" t="s">
        <v>406</v>
      </c>
      <c r="H184" s="3" t="str">
        <f>"检测机架"&amp;INDEX([1]机架!$D:$D,C184+3)&amp;IF(D184&lt;&gt;"","和"&amp;INDEX([1]机架!$D:$D,D184+3),"")&amp;"的数据"</f>
        <v>检测机架枣庄光明西路の机架-4和枣庄光明西路の机架-5的数据</v>
      </c>
      <c r="I184" s="3">
        <f>INDEX([1]机架!$C:$C,C184+3)</f>
        <v>3704002121</v>
      </c>
      <c r="J184" s="3">
        <f>IF(D184&lt;&gt;"",INDEX([1]机架!$C:$C,D184+3),0)</f>
        <v>3704002122</v>
      </c>
    </row>
    <row r="185" spans="1:10" ht="16.5" x14ac:dyDescent="0.2">
      <c r="A185" s="3" t="s">
        <v>393</v>
      </c>
      <c r="B185" s="3">
        <v>182</v>
      </c>
      <c r="C185" s="3">
        <f t="shared" si="9"/>
        <v>363</v>
      </c>
      <c r="D185" s="3">
        <f t="shared" si="10"/>
        <v>364</v>
      </c>
      <c r="E185" s="3" t="str">
        <f t="shared" si="8"/>
        <v>dump:3212004073&amp;1312004073</v>
      </c>
      <c r="F185" s="3" t="str">
        <f t="shared" si="11"/>
        <v>哑资源设备_182</v>
      </c>
      <c r="G185" s="10" t="s">
        <v>406</v>
      </c>
      <c r="H185" s="3" t="str">
        <f>"检测机架"&amp;INDEX([1]机架!$D:$D,C185+3)&amp;IF(D185&lt;&gt;"","和"&amp;INDEX([1]机架!$D:$D,D185+3),"")&amp;"的数据"</f>
        <v>检测机架枣庄光明西路の机架-6和枣庄光明西路の机架-7的数据</v>
      </c>
      <c r="I185" s="3">
        <f>INDEX([1]机架!$C:$C,C185+3)</f>
        <v>3704002123</v>
      </c>
      <c r="J185" s="3">
        <f>IF(D185&lt;&gt;"",INDEX([1]机架!$C:$C,D185+3),0)</f>
        <v>3704002131</v>
      </c>
    </row>
    <row r="186" spans="1:10" ht="16.5" x14ac:dyDescent="0.2">
      <c r="A186" s="3" t="s">
        <v>393</v>
      </c>
      <c r="B186" s="3">
        <v>183</v>
      </c>
      <c r="C186" s="3">
        <f t="shared" si="9"/>
        <v>365</v>
      </c>
      <c r="D186" s="3">
        <f t="shared" si="10"/>
        <v>366</v>
      </c>
      <c r="E186" s="3" t="str">
        <f t="shared" si="8"/>
        <v>dump:2312004073&amp;3312004073</v>
      </c>
      <c r="F186" s="3" t="str">
        <f t="shared" si="11"/>
        <v>哑资源设备_183</v>
      </c>
      <c r="G186" s="10" t="s">
        <v>406</v>
      </c>
      <c r="H186" s="3" t="str">
        <f>"检测机架"&amp;INDEX([1]机架!$D:$D,C186+3)&amp;IF(D186&lt;&gt;"","和"&amp;INDEX([1]机架!$D:$D,D186+3),"")&amp;"的数据"</f>
        <v>检测机架枣庄光明西路の机架-8和枣庄光明西路の机架-9的数据</v>
      </c>
      <c r="I186" s="3">
        <f>INDEX([1]机架!$C:$C,C186+3)</f>
        <v>3704002132</v>
      </c>
      <c r="J186" s="3">
        <f>IF(D186&lt;&gt;"",INDEX([1]机架!$C:$C,D186+3),0)</f>
        <v>3704002133</v>
      </c>
    </row>
    <row r="187" spans="1:10" ht="16.5" x14ac:dyDescent="0.2">
      <c r="A187" s="3" t="s">
        <v>393</v>
      </c>
      <c r="B187" s="3">
        <v>184</v>
      </c>
      <c r="C187" s="3">
        <f t="shared" si="9"/>
        <v>367</v>
      </c>
      <c r="D187" s="3">
        <f t="shared" si="10"/>
        <v>368</v>
      </c>
      <c r="E187" s="3" t="str">
        <f t="shared" si="8"/>
        <v>dump:1113004073&amp;2113004073</v>
      </c>
      <c r="F187" s="3" t="str">
        <f t="shared" si="11"/>
        <v>哑资源设备_184</v>
      </c>
      <c r="G187" s="10" t="s">
        <v>406</v>
      </c>
      <c r="H187" s="3" t="str">
        <f>"检测机架"&amp;INDEX([1]机架!$D:$D,C187+3)&amp;IF(D187&lt;&gt;"","和"&amp;INDEX([1]机架!$D:$D,D187+3),"")&amp;"的数据"</f>
        <v>检测机架枣庄振兴路の机架-1和枣庄振兴路の机架-2的数据</v>
      </c>
      <c r="I187" s="3">
        <f>INDEX([1]机架!$C:$C,C187+3)</f>
        <v>3704003111</v>
      </c>
      <c r="J187" s="3">
        <f>IF(D187&lt;&gt;"",INDEX([1]机架!$C:$C,D187+3),0)</f>
        <v>3704003112</v>
      </c>
    </row>
    <row r="188" spans="1:10" ht="16.5" x14ac:dyDescent="0.2">
      <c r="A188" s="3" t="s">
        <v>393</v>
      </c>
      <c r="B188" s="3">
        <v>185</v>
      </c>
      <c r="C188" s="3">
        <f t="shared" si="9"/>
        <v>369</v>
      </c>
      <c r="D188" s="3">
        <f t="shared" si="10"/>
        <v>370</v>
      </c>
      <c r="E188" s="3" t="str">
        <f t="shared" si="8"/>
        <v>dump:3113004073&amp;1213004073</v>
      </c>
      <c r="F188" s="3" t="str">
        <f t="shared" si="11"/>
        <v>哑资源设备_185</v>
      </c>
      <c r="G188" s="10" t="s">
        <v>406</v>
      </c>
      <c r="H188" s="3" t="str">
        <f>"检测机架"&amp;INDEX([1]机架!$D:$D,C188+3)&amp;IF(D188&lt;&gt;"","和"&amp;INDEX([1]机架!$D:$D,D188+3),"")&amp;"的数据"</f>
        <v>检测机架枣庄振兴路の机架-3和枣庄振兴路の机架-4的数据</v>
      </c>
      <c r="I188" s="3">
        <f>INDEX([1]机架!$C:$C,C188+3)</f>
        <v>3704003113</v>
      </c>
      <c r="J188" s="3">
        <f>IF(D188&lt;&gt;"",INDEX([1]机架!$C:$C,D188+3),0)</f>
        <v>3704003121</v>
      </c>
    </row>
    <row r="189" spans="1:10" ht="16.5" x14ac:dyDescent="0.2">
      <c r="A189" s="3" t="s">
        <v>393</v>
      </c>
      <c r="B189" s="3">
        <v>186</v>
      </c>
      <c r="C189" s="3">
        <f t="shared" si="9"/>
        <v>371</v>
      </c>
      <c r="D189" s="3">
        <f t="shared" si="10"/>
        <v>372</v>
      </c>
      <c r="E189" s="3" t="str">
        <f t="shared" si="8"/>
        <v>dump:2213004073&amp;3213004073</v>
      </c>
      <c r="F189" s="3" t="str">
        <f t="shared" si="11"/>
        <v>哑资源设备_186</v>
      </c>
      <c r="G189" s="10" t="s">
        <v>406</v>
      </c>
      <c r="H189" s="3" t="str">
        <f>"检测机架"&amp;INDEX([1]机架!$D:$D,C189+3)&amp;IF(D189&lt;&gt;"","和"&amp;INDEX([1]机架!$D:$D,D189+3),"")&amp;"的数据"</f>
        <v>检测机架枣庄振兴路の机架-5和枣庄振兴路の机架-6的数据</v>
      </c>
      <c r="I189" s="3">
        <f>INDEX([1]机架!$C:$C,C189+3)</f>
        <v>3704003122</v>
      </c>
      <c r="J189" s="3">
        <f>IF(D189&lt;&gt;"",INDEX([1]机架!$C:$C,D189+3),0)</f>
        <v>3704003123</v>
      </c>
    </row>
    <row r="190" spans="1:10" ht="16.5" x14ac:dyDescent="0.2">
      <c r="A190" s="3" t="s">
        <v>393</v>
      </c>
      <c r="B190" s="3">
        <v>187</v>
      </c>
      <c r="C190" s="3">
        <f t="shared" si="9"/>
        <v>373</v>
      </c>
      <c r="D190" s="3">
        <f t="shared" si="10"/>
        <v>374</v>
      </c>
      <c r="E190" s="3" t="str">
        <f t="shared" si="8"/>
        <v>dump:1313004073&amp;2313004073</v>
      </c>
      <c r="F190" s="3" t="str">
        <f t="shared" si="11"/>
        <v>哑资源设备_187</v>
      </c>
      <c r="G190" s="10" t="s">
        <v>406</v>
      </c>
      <c r="H190" s="3" t="str">
        <f>"检测机架"&amp;INDEX([1]机架!$D:$D,C190+3)&amp;IF(D190&lt;&gt;"","和"&amp;INDEX([1]机架!$D:$D,D190+3),"")&amp;"的数据"</f>
        <v>检测机架枣庄振兴路の机架-7和枣庄振兴路の机架-8的数据</v>
      </c>
      <c r="I190" s="3">
        <f>INDEX([1]机架!$C:$C,C190+3)</f>
        <v>3704003131</v>
      </c>
      <c r="J190" s="3">
        <f>IF(D190&lt;&gt;"",INDEX([1]机架!$C:$C,D190+3),0)</f>
        <v>3704003132</v>
      </c>
    </row>
    <row r="191" spans="1:10" ht="16.5" x14ac:dyDescent="0.2">
      <c r="A191" s="3" t="s">
        <v>393</v>
      </c>
      <c r="B191" s="3">
        <v>188</v>
      </c>
      <c r="C191" s="3">
        <f t="shared" si="9"/>
        <v>375</v>
      </c>
      <c r="D191" s="3">
        <f t="shared" si="10"/>
        <v>376</v>
      </c>
      <c r="E191" s="3" t="str">
        <f t="shared" si="8"/>
        <v>dump:3313004073&amp;1114004073</v>
      </c>
      <c r="F191" s="3" t="str">
        <f t="shared" si="11"/>
        <v>哑资源设备_188</v>
      </c>
      <c r="G191" s="10" t="s">
        <v>406</v>
      </c>
      <c r="H191" s="3" t="str">
        <f>"检测机架"&amp;INDEX([1]机架!$D:$D,C191+3)&amp;IF(D191&lt;&gt;"","和"&amp;INDEX([1]机架!$D:$D,D191+3),"")&amp;"的数据"</f>
        <v>检测机架枣庄振兴路の机架-9和滕州善国北路の机架-1的数据</v>
      </c>
      <c r="I191" s="3">
        <f>INDEX([1]机架!$C:$C,C191+3)</f>
        <v>3704003133</v>
      </c>
      <c r="J191" s="3">
        <f>IF(D191&lt;&gt;"",INDEX([1]机架!$C:$C,D191+3),0)</f>
        <v>3704004111</v>
      </c>
    </row>
    <row r="192" spans="1:10" ht="16.5" x14ac:dyDescent="0.2">
      <c r="A192" s="3" t="s">
        <v>393</v>
      </c>
      <c r="B192" s="3">
        <v>189</v>
      </c>
      <c r="C192" s="3">
        <f t="shared" si="9"/>
        <v>377</v>
      </c>
      <c r="D192" s="3">
        <f t="shared" si="10"/>
        <v>378</v>
      </c>
      <c r="E192" s="3" t="str">
        <f t="shared" si="8"/>
        <v>dump:2114004073&amp;3114004073</v>
      </c>
      <c r="F192" s="3" t="str">
        <f t="shared" si="11"/>
        <v>哑资源设备_189</v>
      </c>
      <c r="G192" s="10" t="s">
        <v>406</v>
      </c>
      <c r="H192" s="3" t="str">
        <f>"检测机架"&amp;INDEX([1]机架!$D:$D,C192+3)&amp;IF(D192&lt;&gt;"","和"&amp;INDEX([1]机架!$D:$D,D192+3),"")&amp;"的数据"</f>
        <v>检测机架滕州善国北路の机架-2和滕州善国北路の机架-3的数据</v>
      </c>
      <c r="I192" s="3">
        <f>INDEX([1]机架!$C:$C,C192+3)</f>
        <v>3704004112</v>
      </c>
      <c r="J192" s="3">
        <f>IF(D192&lt;&gt;"",INDEX([1]机架!$C:$C,D192+3),0)</f>
        <v>3704004113</v>
      </c>
    </row>
    <row r="193" spans="1:10" ht="16.5" x14ac:dyDescent="0.2">
      <c r="A193" s="3" t="s">
        <v>393</v>
      </c>
      <c r="B193" s="3">
        <v>190</v>
      </c>
      <c r="C193" s="3">
        <f t="shared" si="9"/>
        <v>379</v>
      </c>
      <c r="D193" s="3">
        <f t="shared" si="10"/>
        <v>380</v>
      </c>
      <c r="E193" s="3" t="str">
        <f t="shared" si="8"/>
        <v>dump:1214004073&amp;2214004073</v>
      </c>
      <c r="F193" s="3" t="str">
        <f t="shared" si="11"/>
        <v>哑资源设备_190</v>
      </c>
      <c r="G193" s="10" t="s">
        <v>406</v>
      </c>
      <c r="H193" s="3" t="str">
        <f>"检测机架"&amp;INDEX([1]机架!$D:$D,C193+3)&amp;IF(D193&lt;&gt;"","和"&amp;INDEX([1]机架!$D:$D,D193+3),"")&amp;"的数据"</f>
        <v>检测机架滕州善国北路の机架-4和滕州善国北路の机架-5的数据</v>
      </c>
      <c r="I193" s="3">
        <f>INDEX([1]机架!$C:$C,C193+3)</f>
        <v>3704004121</v>
      </c>
      <c r="J193" s="3">
        <f>IF(D193&lt;&gt;"",INDEX([1]机架!$C:$C,D193+3),0)</f>
        <v>3704004122</v>
      </c>
    </row>
    <row r="194" spans="1:10" ht="16.5" x14ac:dyDescent="0.2">
      <c r="A194" s="3" t="s">
        <v>393</v>
      </c>
      <c r="B194" s="3">
        <v>191</v>
      </c>
      <c r="C194" s="3">
        <f t="shared" si="9"/>
        <v>381</v>
      </c>
      <c r="D194" s="3">
        <f t="shared" si="10"/>
        <v>382</v>
      </c>
      <c r="E194" s="3" t="str">
        <f t="shared" si="8"/>
        <v>dump:3214004073&amp;1314004073</v>
      </c>
      <c r="F194" s="3" t="str">
        <f t="shared" si="11"/>
        <v>哑资源设备_191</v>
      </c>
      <c r="G194" s="10" t="s">
        <v>406</v>
      </c>
      <c r="H194" s="3" t="str">
        <f>"检测机架"&amp;INDEX([1]机架!$D:$D,C194+3)&amp;IF(D194&lt;&gt;"","和"&amp;INDEX([1]机架!$D:$D,D194+3),"")&amp;"的数据"</f>
        <v>检测机架滕州善国北路の机架-6和滕州善国北路の机架-7的数据</v>
      </c>
      <c r="I194" s="3">
        <f>INDEX([1]机架!$C:$C,C194+3)</f>
        <v>3704004123</v>
      </c>
      <c r="J194" s="3">
        <f>IF(D194&lt;&gt;"",INDEX([1]机架!$C:$C,D194+3),0)</f>
        <v>3704004131</v>
      </c>
    </row>
    <row r="195" spans="1:10" ht="16.5" x14ac:dyDescent="0.2">
      <c r="A195" s="3" t="s">
        <v>393</v>
      </c>
      <c r="B195" s="3">
        <v>192</v>
      </c>
      <c r="C195" s="3">
        <f t="shared" si="9"/>
        <v>383</v>
      </c>
      <c r="D195" s="3">
        <f t="shared" si="10"/>
        <v>384</v>
      </c>
      <c r="E195" s="3" t="str">
        <f t="shared" si="8"/>
        <v>dump:2314004073&amp;3314004073</v>
      </c>
      <c r="F195" s="3" t="str">
        <f t="shared" si="11"/>
        <v>哑资源设备_192</v>
      </c>
      <c r="G195" s="10" t="s">
        <v>406</v>
      </c>
      <c r="H195" s="3" t="str">
        <f>"检测机架"&amp;INDEX([1]机架!$D:$D,C195+3)&amp;IF(D195&lt;&gt;"","和"&amp;INDEX([1]机架!$D:$D,D195+3),"")&amp;"的数据"</f>
        <v>检测机架滕州善国北路の机架-8和滕州善国北路の机架-9的数据</v>
      </c>
      <c r="I195" s="3">
        <f>INDEX([1]机架!$C:$C,C195+3)</f>
        <v>3704004132</v>
      </c>
      <c r="J195" s="3">
        <f>IF(D195&lt;&gt;"",INDEX([1]机架!$C:$C,D195+3),0)</f>
        <v>3704004133</v>
      </c>
    </row>
    <row r="196" spans="1:10" ht="16.5" x14ac:dyDescent="0.2">
      <c r="A196" s="3" t="s">
        <v>393</v>
      </c>
      <c r="B196" s="3">
        <v>193</v>
      </c>
      <c r="C196" s="3">
        <f t="shared" si="9"/>
        <v>385</v>
      </c>
      <c r="D196" s="3">
        <f t="shared" si="10"/>
        <v>386</v>
      </c>
      <c r="E196" s="3" t="str">
        <f t="shared" ref="E196:E259" si="12">"dump:"&amp;Reverse(I196)&amp;"&amp;"&amp;Reverse(J196)</f>
        <v>dump:1115004073&amp;2115004073</v>
      </c>
      <c r="F196" s="3" t="str">
        <f t="shared" si="11"/>
        <v>哑资源设备_193</v>
      </c>
      <c r="G196" s="10" t="s">
        <v>406</v>
      </c>
      <c r="H196" s="3" t="str">
        <f>"检测机架"&amp;INDEX([1]机架!$D:$D,C196+3)&amp;IF(D196&lt;&gt;"","和"&amp;INDEX([1]机架!$D:$D,D196+3),"")&amp;"的数据"</f>
        <v>检测机架滕州51中心局の机架-1和滕州51中心局の机架-2的数据</v>
      </c>
      <c r="I196" s="3">
        <f>INDEX([1]机架!$C:$C,C196+3)</f>
        <v>3704005111</v>
      </c>
      <c r="J196" s="3">
        <f>IF(D196&lt;&gt;"",INDEX([1]机架!$C:$C,D196+3),0)</f>
        <v>3704005112</v>
      </c>
    </row>
    <row r="197" spans="1:10" ht="16.5" x14ac:dyDescent="0.2">
      <c r="A197" s="3" t="s">
        <v>393</v>
      </c>
      <c r="B197" s="3">
        <v>194</v>
      </c>
      <c r="C197" s="3">
        <f t="shared" ref="C197:C260" si="13">MOD(B197-1,INT(($N$3+1)/2))*2+1</f>
        <v>387</v>
      </c>
      <c r="D197" s="3">
        <f t="shared" ref="D197:D260" si="14">IF(C197&lt;$N$3,MOD(B197-1,INT(($N$3+1)/2))*2+2,"")</f>
        <v>388</v>
      </c>
      <c r="E197" s="3" t="str">
        <f t="shared" si="12"/>
        <v>dump:3115004073&amp;1215004073</v>
      </c>
      <c r="F197" s="3" t="str">
        <f t="shared" ref="F197:F260" si="15">"哑资源设备_"&amp;B197</f>
        <v>哑资源设备_194</v>
      </c>
      <c r="G197" s="10" t="s">
        <v>406</v>
      </c>
      <c r="H197" s="3" t="str">
        <f>"检测机架"&amp;INDEX([1]机架!$D:$D,C197+3)&amp;IF(D197&lt;&gt;"","和"&amp;INDEX([1]机架!$D:$D,D197+3),"")&amp;"的数据"</f>
        <v>检测机架滕州51中心局の机架-3和滕州51中心局の机架-4的数据</v>
      </c>
      <c r="I197" s="3">
        <f>INDEX([1]机架!$C:$C,C197+3)</f>
        <v>3704005113</v>
      </c>
      <c r="J197" s="3">
        <f>IF(D197&lt;&gt;"",INDEX([1]机架!$C:$C,D197+3),0)</f>
        <v>3704005121</v>
      </c>
    </row>
    <row r="198" spans="1:10" ht="16.5" x14ac:dyDescent="0.2">
      <c r="A198" s="3" t="s">
        <v>393</v>
      </c>
      <c r="B198" s="3">
        <v>195</v>
      </c>
      <c r="C198" s="3">
        <f t="shared" si="13"/>
        <v>389</v>
      </c>
      <c r="D198" s="3">
        <f t="shared" si="14"/>
        <v>390</v>
      </c>
      <c r="E198" s="3" t="str">
        <f t="shared" si="12"/>
        <v>dump:2215004073&amp;3215004073</v>
      </c>
      <c r="F198" s="3" t="str">
        <f t="shared" si="15"/>
        <v>哑资源设备_195</v>
      </c>
      <c r="G198" s="10" t="s">
        <v>406</v>
      </c>
      <c r="H198" s="3" t="str">
        <f>"检测机架"&amp;INDEX([1]机架!$D:$D,C198+3)&amp;IF(D198&lt;&gt;"","和"&amp;INDEX([1]机架!$D:$D,D198+3),"")&amp;"的数据"</f>
        <v>检测机架滕州51中心局の机架-5和滕州51中心局の机架-6的数据</v>
      </c>
      <c r="I198" s="3">
        <f>INDEX([1]机架!$C:$C,C198+3)</f>
        <v>3704005122</v>
      </c>
      <c r="J198" s="3">
        <f>IF(D198&lt;&gt;"",INDEX([1]机架!$C:$C,D198+3),0)</f>
        <v>3704005123</v>
      </c>
    </row>
    <row r="199" spans="1:10" ht="16.5" x14ac:dyDescent="0.2">
      <c r="A199" s="3" t="s">
        <v>393</v>
      </c>
      <c r="B199" s="3">
        <v>196</v>
      </c>
      <c r="C199" s="3">
        <f t="shared" si="13"/>
        <v>391</v>
      </c>
      <c r="D199" s="3">
        <f t="shared" si="14"/>
        <v>392</v>
      </c>
      <c r="E199" s="3" t="str">
        <f t="shared" si="12"/>
        <v>dump:1315004073&amp;2315004073</v>
      </c>
      <c r="F199" s="3" t="str">
        <f t="shared" si="15"/>
        <v>哑资源设备_196</v>
      </c>
      <c r="G199" s="10" t="s">
        <v>406</v>
      </c>
      <c r="H199" s="3" t="str">
        <f>"检测机架"&amp;INDEX([1]机架!$D:$D,C199+3)&amp;IF(D199&lt;&gt;"","和"&amp;INDEX([1]机架!$D:$D,D199+3),"")&amp;"的数据"</f>
        <v>检测机架滕州51中心局の机架-7和滕州51中心局の机架-8的数据</v>
      </c>
      <c r="I199" s="3">
        <f>INDEX([1]机架!$C:$C,C199+3)</f>
        <v>3704005131</v>
      </c>
      <c r="J199" s="3">
        <f>IF(D199&lt;&gt;"",INDEX([1]机架!$C:$C,D199+3),0)</f>
        <v>3704005132</v>
      </c>
    </row>
    <row r="200" spans="1:10" ht="16.5" x14ac:dyDescent="0.2">
      <c r="A200" s="3" t="s">
        <v>393</v>
      </c>
      <c r="B200" s="3">
        <v>197</v>
      </c>
      <c r="C200" s="3">
        <f t="shared" si="13"/>
        <v>393</v>
      </c>
      <c r="D200" s="3">
        <f t="shared" si="14"/>
        <v>394</v>
      </c>
      <c r="E200" s="3" t="str">
        <f t="shared" si="12"/>
        <v>dump:3315004073&amp;1116004073</v>
      </c>
      <c r="F200" s="3" t="str">
        <f t="shared" si="15"/>
        <v>哑资源设备_197</v>
      </c>
      <c r="G200" s="10" t="s">
        <v>406</v>
      </c>
      <c r="H200" s="3" t="str">
        <f>"检测机架"&amp;INDEX([1]机架!$D:$D,C200+3)&amp;IF(D200&lt;&gt;"","和"&amp;INDEX([1]机架!$D:$D,D200+3),"")&amp;"的数据"</f>
        <v>检测机架滕州51中心局の机架-9和薛城441局の机架-1的数据</v>
      </c>
      <c r="I200" s="3">
        <f>INDEX([1]机架!$C:$C,C200+3)</f>
        <v>3704005133</v>
      </c>
      <c r="J200" s="3">
        <f>IF(D200&lt;&gt;"",INDEX([1]机架!$C:$C,D200+3),0)</f>
        <v>3704006111</v>
      </c>
    </row>
    <row r="201" spans="1:10" ht="16.5" x14ac:dyDescent="0.2">
      <c r="A201" s="3" t="s">
        <v>393</v>
      </c>
      <c r="B201" s="3">
        <v>198</v>
      </c>
      <c r="C201" s="3">
        <f t="shared" si="13"/>
        <v>395</v>
      </c>
      <c r="D201" s="3">
        <f t="shared" si="14"/>
        <v>396</v>
      </c>
      <c r="E201" s="3" t="str">
        <f t="shared" si="12"/>
        <v>dump:2116004073&amp;3116004073</v>
      </c>
      <c r="F201" s="3" t="str">
        <f t="shared" si="15"/>
        <v>哑资源设备_198</v>
      </c>
      <c r="G201" s="10" t="s">
        <v>406</v>
      </c>
      <c r="H201" s="3" t="str">
        <f>"检测机架"&amp;INDEX([1]机架!$D:$D,C201+3)&amp;IF(D201&lt;&gt;"","和"&amp;INDEX([1]机架!$D:$D,D201+3),"")&amp;"的数据"</f>
        <v>检测机架薛城441局の机架-2和薛城441局の机架-3的数据</v>
      </c>
      <c r="I201" s="3">
        <f>INDEX([1]机架!$C:$C,C201+3)</f>
        <v>3704006112</v>
      </c>
      <c r="J201" s="3">
        <f>IF(D201&lt;&gt;"",INDEX([1]机架!$C:$C,D201+3),0)</f>
        <v>3704006113</v>
      </c>
    </row>
    <row r="202" spans="1:10" ht="16.5" x14ac:dyDescent="0.2">
      <c r="A202" s="3" t="s">
        <v>393</v>
      </c>
      <c r="B202" s="3">
        <v>199</v>
      </c>
      <c r="C202" s="3">
        <f t="shared" si="13"/>
        <v>397</v>
      </c>
      <c r="D202" s="3">
        <f t="shared" si="14"/>
        <v>398</v>
      </c>
      <c r="E202" s="3" t="str">
        <f t="shared" si="12"/>
        <v>dump:1216004073&amp;2216004073</v>
      </c>
      <c r="F202" s="3" t="str">
        <f t="shared" si="15"/>
        <v>哑资源设备_199</v>
      </c>
      <c r="G202" s="10" t="s">
        <v>406</v>
      </c>
      <c r="H202" s="3" t="str">
        <f>"检测机架"&amp;INDEX([1]机架!$D:$D,C202+3)&amp;IF(D202&lt;&gt;"","和"&amp;INDEX([1]机架!$D:$D,D202+3),"")&amp;"的数据"</f>
        <v>检测机架薛城441局の机架-4和薛城441局の机架-5的数据</v>
      </c>
      <c r="I202" s="3">
        <f>INDEX([1]机架!$C:$C,C202+3)</f>
        <v>3704006121</v>
      </c>
      <c r="J202" s="3">
        <f>IF(D202&lt;&gt;"",INDEX([1]机架!$C:$C,D202+3),0)</f>
        <v>3704006122</v>
      </c>
    </row>
    <row r="203" spans="1:10" ht="16.5" x14ac:dyDescent="0.2">
      <c r="A203" s="3" t="s">
        <v>393</v>
      </c>
      <c r="B203" s="3">
        <v>200</v>
      </c>
      <c r="C203" s="3">
        <f t="shared" si="13"/>
        <v>399</v>
      </c>
      <c r="D203" s="3">
        <f t="shared" si="14"/>
        <v>400</v>
      </c>
      <c r="E203" s="3" t="str">
        <f t="shared" si="12"/>
        <v>dump:3216004073&amp;1316004073</v>
      </c>
      <c r="F203" s="3" t="str">
        <f t="shared" si="15"/>
        <v>哑资源设备_200</v>
      </c>
      <c r="G203" s="10" t="s">
        <v>406</v>
      </c>
      <c r="H203" s="3" t="str">
        <f>"检测机架"&amp;INDEX([1]机架!$D:$D,C203+3)&amp;IF(D203&lt;&gt;"","和"&amp;INDEX([1]机架!$D:$D,D203+3),"")&amp;"的数据"</f>
        <v>检测机架薛城441局の机架-6和薛城441局の机架-7的数据</v>
      </c>
      <c r="I203" s="3">
        <f>INDEX([1]机架!$C:$C,C203+3)</f>
        <v>3704006123</v>
      </c>
      <c r="J203" s="3">
        <f>IF(D203&lt;&gt;"",INDEX([1]机架!$C:$C,D203+3),0)</f>
        <v>3704006131</v>
      </c>
    </row>
    <row r="204" spans="1:10" ht="16.5" x14ac:dyDescent="0.2">
      <c r="A204" s="3" t="s">
        <v>393</v>
      </c>
      <c r="B204" s="3">
        <v>201</v>
      </c>
      <c r="C204" s="3">
        <f t="shared" si="13"/>
        <v>401</v>
      </c>
      <c r="D204" s="3">
        <f t="shared" si="14"/>
        <v>402</v>
      </c>
      <c r="E204" s="3" t="str">
        <f t="shared" si="12"/>
        <v>dump:2316004073&amp;3316004073</v>
      </c>
      <c r="F204" s="3" t="str">
        <f t="shared" si="15"/>
        <v>哑资源设备_201</v>
      </c>
      <c r="G204" s="10" t="s">
        <v>406</v>
      </c>
      <c r="H204" s="3" t="str">
        <f>"检测机架"&amp;INDEX([1]机架!$D:$D,C204+3)&amp;IF(D204&lt;&gt;"","和"&amp;INDEX([1]机架!$D:$D,D204+3),"")&amp;"的数据"</f>
        <v>检测机架薛城441局の机架-8和薛城441局の机架-9的数据</v>
      </c>
      <c r="I204" s="3">
        <f>INDEX([1]机架!$C:$C,C204+3)</f>
        <v>3704006132</v>
      </c>
      <c r="J204" s="3">
        <f>IF(D204&lt;&gt;"",INDEX([1]机架!$C:$C,D204+3),0)</f>
        <v>3704006133</v>
      </c>
    </row>
    <row r="205" spans="1:10" ht="16.5" x14ac:dyDescent="0.2">
      <c r="A205" s="3" t="s">
        <v>393</v>
      </c>
      <c r="B205" s="3">
        <v>202</v>
      </c>
      <c r="C205" s="3">
        <f t="shared" si="13"/>
        <v>403</v>
      </c>
      <c r="D205" s="3">
        <f t="shared" si="14"/>
        <v>404</v>
      </c>
      <c r="E205" s="3" t="str">
        <f t="shared" si="12"/>
        <v>dump:1117004073&amp;2117004073</v>
      </c>
      <c r="F205" s="3" t="str">
        <f t="shared" si="15"/>
        <v>哑资源设备_202</v>
      </c>
      <c r="G205" s="10" t="s">
        <v>406</v>
      </c>
      <c r="H205" s="3" t="str">
        <f>"检测机架"&amp;INDEX([1]机架!$D:$D,C205+3)&amp;IF(D205&lt;&gt;"","和"&amp;INDEX([1]机架!$D:$D,D205+3),"")&amp;"的数据"</f>
        <v>检测机架薛城天山路の机架-1和薛城天山路の机架-2的数据</v>
      </c>
      <c r="I205" s="3">
        <f>INDEX([1]机架!$C:$C,C205+3)</f>
        <v>3704007111</v>
      </c>
      <c r="J205" s="3">
        <f>IF(D205&lt;&gt;"",INDEX([1]机架!$C:$C,D205+3),0)</f>
        <v>3704007112</v>
      </c>
    </row>
    <row r="206" spans="1:10" ht="16.5" x14ac:dyDescent="0.2">
      <c r="A206" s="3" t="s">
        <v>393</v>
      </c>
      <c r="B206" s="3">
        <v>203</v>
      </c>
      <c r="C206" s="3">
        <f t="shared" si="13"/>
        <v>405</v>
      </c>
      <c r="D206" s="3">
        <f t="shared" si="14"/>
        <v>406</v>
      </c>
      <c r="E206" s="3" t="str">
        <f t="shared" si="12"/>
        <v>dump:3117004073&amp;1217004073</v>
      </c>
      <c r="F206" s="3" t="str">
        <f t="shared" si="15"/>
        <v>哑资源设备_203</v>
      </c>
      <c r="G206" s="10" t="s">
        <v>406</v>
      </c>
      <c r="H206" s="3" t="str">
        <f>"检测机架"&amp;INDEX([1]机架!$D:$D,C206+3)&amp;IF(D206&lt;&gt;"","和"&amp;INDEX([1]机架!$D:$D,D206+3),"")&amp;"的数据"</f>
        <v>检测机架薛城天山路の机架-3和薛城天山路の机架-4的数据</v>
      </c>
      <c r="I206" s="3">
        <f>INDEX([1]机架!$C:$C,C206+3)</f>
        <v>3704007113</v>
      </c>
      <c r="J206" s="3">
        <f>IF(D206&lt;&gt;"",INDEX([1]机架!$C:$C,D206+3),0)</f>
        <v>3704007121</v>
      </c>
    </row>
    <row r="207" spans="1:10" ht="16.5" x14ac:dyDescent="0.2">
      <c r="A207" s="3" t="s">
        <v>393</v>
      </c>
      <c r="B207" s="3">
        <v>204</v>
      </c>
      <c r="C207" s="3">
        <f t="shared" si="13"/>
        <v>407</v>
      </c>
      <c r="D207" s="3">
        <f t="shared" si="14"/>
        <v>408</v>
      </c>
      <c r="E207" s="3" t="str">
        <f t="shared" si="12"/>
        <v>dump:2217004073&amp;3217004073</v>
      </c>
      <c r="F207" s="3" t="str">
        <f t="shared" si="15"/>
        <v>哑资源设备_204</v>
      </c>
      <c r="G207" s="10" t="s">
        <v>406</v>
      </c>
      <c r="H207" s="3" t="str">
        <f>"检测机架"&amp;INDEX([1]机架!$D:$D,C207+3)&amp;IF(D207&lt;&gt;"","和"&amp;INDEX([1]机架!$D:$D,D207+3),"")&amp;"的数据"</f>
        <v>检测机架薛城天山路の机架-5和薛城天山路の机架-6的数据</v>
      </c>
      <c r="I207" s="3">
        <f>INDEX([1]机架!$C:$C,C207+3)</f>
        <v>3704007122</v>
      </c>
      <c r="J207" s="3">
        <f>IF(D207&lt;&gt;"",INDEX([1]机架!$C:$C,D207+3),0)</f>
        <v>3704007123</v>
      </c>
    </row>
    <row r="208" spans="1:10" ht="16.5" x14ac:dyDescent="0.2">
      <c r="A208" s="3" t="s">
        <v>393</v>
      </c>
      <c r="B208" s="3">
        <v>205</v>
      </c>
      <c r="C208" s="3">
        <f t="shared" si="13"/>
        <v>409</v>
      </c>
      <c r="D208" s="3">
        <f t="shared" si="14"/>
        <v>410</v>
      </c>
      <c r="E208" s="3" t="str">
        <f t="shared" si="12"/>
        <v>dump:1317004073&amp;2317004073</v>
      </c>
      <c r="F208" s="3" t="str">
        <f t="shared" si="15"/>
        <v>哑资源设备_205</v>
      </c>
      <c r="G208" s="10" t="s">
        <v>406</v>
      </c>
      <c r="H208" s="3" t="str">
        <f>"检测机架"&amp;INDEX([1]机架!$D:$D,C208+3)&amp;IF(D208&lt;&gt;"","和"&amp;INDEX([1]机架!$D:$D,D208+3),"")&amp;"的数据"</f>
        <v>检测机架薛城天山路の机架-7和薛城天山路の机架-8的数据</v>
      </c>
      <c r="I208" s="3">
        <f>INDEX([1]机架!$C:$C,C208+3)</f>
        <v>3704007131</v>
      </c>
      <c r="J208" s="3">
        <f>IF(D208&lt;&gt;"",INDEX([1]机架!$C:$C,D208+3),0)</f>
        <v>3704007132</v>
      </c>
    </row>
    <row r="209" spans="1:10" ht="16.5" x14ac:dyDescent="0.2">
      <c r="A209" s="3" t="s">
        <v>393</v>
      </c>
      <c r="B209" s="3">
        <v>206</v>
      </c>
      <c r="C209" s="3">
        <f t="shared" si="13"/>
        <v>411</v>
      </c>
      <c r="D209" s="3">
        <f t="shared" si="14"/>
        <v>412</v>
      </c>
      <c r="E209" s="3" t="str">
        <f t="shared" si="12"/>
        <v>dump:3317004073&amp;1111005073</v>
      </c>
      <c r="F209" s="3" t="str">
        <f t="shared" si="15"/>
        <v>哑资源设备_206</v>
      </c>
      <c r="G209" s="10" t="s">
        <v>406</v>
      </c>
      <c r="H209" s="3" t="str">
        <f>"检测机架"&amp;INDEX([1]机架!$D:$D,C209+3)&amp;IF(D209&lt;&gt;"","和"&amp;INDEX([1]机架!$D:$D,D209+3),"")&amp;"的数据"</f>
        <v>检测机架薛城天山路の机架-9和东营济南路の机架-1的数据</v>
      </c>
      <c r="I209" s="3">
        <f>INDEX([1]机架!$C:$C,C209+3)</f>
        <v>3704007133</v>
      </c>
      <c r="J209" s="3">
        <f>IF(D209&lt;&gt;"",INDEX([1]机架!$C:$C,D209+3),0)</f>
        <v>3705001111</v>
      </c>
    </row>
    <row r="210" spans="1:10" ht="16.5" x14ac:dyDescent="0.2">
      <c r="A210" s="3" t="s">
        <v>393</v>
      </c>
      <c r="B210" s="3">
        <v>207</v>
      </c>
      <c r="C210" s="3">
        <f t="shared" si="13"/>
        <v>413</v>
      </c>
      <c r="D210" s="3">
        <f t="shared" si="14"/>
        <v>414</v>
      </c>
      <c r="E210" s="3" t="str">
        <f t="shared" si="12"/>
        <v>dump:2111005073&amp;3111005073</v>
      </c>
      <c r="F210" s="3" t="str">
        <f t="shared" si="15"/>
        <v>哑资源设备_207</v>
      </c>
      <c r="G210" s="10" t="s">
        <v>406</v>
      </c>
      <c r="H210" s="3" t="str">
        <f>"检测机架"&amp;INDEX([1]机架!$D:$D,C210+3)&amp;IF(D210&lt;&gt;"","和"&amp;INDEX([1]机架!$D:$D,D210+3),"")&amp;"的数据"</f>
        <v>检测机架东营济南路の机架-2和东营济南路の机架-3的数据</v>
      </c>
      <c r="I210" s="3">
        <f>INDEX([1]机架!$C:$C,C210+3)</f>
        <v>3705001112</v>
      </c>
      <c r="J210" s="3">
        <f>IF(D210&lt;&gt;"",INDEX([1]机架!$C:$C,D210+3),0)</f>
        <v>3705001113</v>
      </c>
    </row>
    <row r="211" spans="1:10" ht="16.5" x14ac:dyDescent="0.2">
      <c r="A211" s="3" t="s">
        <v>393</v>
      </c>
      <c r="B211" s="3">
        <v>208</v>
      </c>
      <c r="C211" s="3">
        <f t="shared" si="13"/>
        <v>415</v>
      </c>
      <c r="D211" s="3">
        <f t="shared" si="14"/>
        <v>416</v>
      </c>
      <c r="E211" s="3" t="str">
        <f t="shared" si="12"/>
        <v>dump:1211005073&amp;2211005073</v>
      </c>
      <c r="F211" s="3" t="str">
        <f t="shared" si="15"/>
        <v>哑资源设备_208</v>
      </c>
      <c r="G211" s="10" t="s">
        <v>406</v>
      </c>
      <c r="H211" s="3" t="str">
        <f>"检测机架"&amp;INDEX([1]机架!$D:$D,C211+3)&amp;IF(D211&lt;&gt;"","和"&amp;INDEX([1]机架!$D:$D,D211+3),"")&amp;"的数据"</f>
        <v>检测机架东营济南路の机架-4和东营济南路の机架-5的数据</v>
      </c>
      <c r="I211" s="3">
        <f>INDEX([1]机架!$C:$C,C211+3)</f>
        <v>3705001121</v>
      </c>
      <c r="J211" s="3">
        <f>IF(D211&lt;&gt;"",INDEX([1]机架!$C:$C,D211+3),0)</f>
        <v>3705001122</v>
      </c>
    </row>
    <row r="212" spans="1:10" ht="16.5" x14ac:dyDescent="0.2">
      <c r="A212" s="3" t="s">
        <v>393</v>
      </c>
      <c r="B212" s="3">
        <v>209</v>
      </c>
      <c r="C212" s="3">
        <f t="shared" si="13"/>
        <v>417</v>
      </c>
      <c r="D212" s="3">
        <f t="shared" si="14"/>
        <v>418</v>
      </c>
      <c r="E212" s="3" t="str">
        <f t="shared" si="12"/>
        <v>dump:3211005073&amp;1311005073</v>
      </c>
      <c r="F212" s="3" t="str">
        <f t="shared" si="15"/>
        <v>哑资源设备_209</v>
      </c>
      <c r="G212" s="10" t="s">
        <v>406</v>
      </c>
      <c r="H212" s="3" t="str">
        <f>"检测机架"&amp;INDEX([1]机架!$D:$D,C212+3)&amp;IF(D212&lt;&gt;"","和"&amp;INDEX([1]机架!$D:$D,D212+3),"")&amp;"的数据"</f>
        <v>检测机架东营济南路の机架-6和东营济南路の机架-7的数据</v>
      </c>
      <c r="I212" s="3">
        <f>INDEX([1]机架!$C:$C,C212+3)</f>
        <v>3705001123</v>
      </c>
      <c r="J212" s="3">
        <f>IF(D212&lt;&gt;"",INDEX([1]机架!$C:$C,D212+3),0)</f>
        <v>3705001131</v>
      </c>
    </row>
    <row r="213" spans="1:10" ht="16.5" x14ac:dyDescent="0.2">
      <c r="A213" s="3" t="s">
        <v>393</v>
      </c>
      <c r="B213" s="3">
        <v>210</v>
      </c>
      <c r="C213" s="3">
        <f t="shared" si="13"/>
        <v>419</v>
      </c>
      <c r="D213" s="3">
        <f t="shared" si="14"/>
        <v>420</v>
      </c>
      <c r="E213" s="3" t="str">
        <f t="shared" si="12"/>
        <v>dump:2311005073&amp;3311005073</v>
      </c>
      <c r="F213" s="3" t="str">
        <f t="shared" si="15"/>
        <v>哑资源设备_210</v>
      </c>
      <c r="G213" s="10" t="s">
        <v>406</v>
      </c>
      <c r="H213" s="3" t="str">
        <f>"检测机架"&amp;INDEX([1]机架!$D:$D,C213+3)&amp;IF(D213&lt;&gt;"","和"&amp;INDEX([1]机架!$D:$D,D213+3),"")&amp;"的数据"</f>
        <v>检测机架东营济南路の机架-8和东营济南路の机架-9的数据</v>
      </c>
      <c r="I213" s="3">
        <f>INDEX([1]机架!$C:$C,C213+3)</f>
        <v>3705001132</v>
      </c>
      <c r="J213" s="3">
        <f>IF(D213&lt;&gt;"",INDEX([1]机架!$C:$C,D213+3),0)</f>
        <v>3705001133</v>
      </c>
    </row>
    <row r="214" spans="1:10" ht="16.5" x14ac:dyDescent="0.2">
      <c r="A214" s="3" t="s">
        <v>393</v>
      </c>
      <c r="B214" s="3">
        <v>211</v>
      </c>
      <c r="C214" s="3">
        <f t="shared" si="13"/>
        <v>421</v>
      </c>
      <c r="D214" s="3">
        <f t="shared" si="14"/>
        <v>422</v>
      </c>
      <c r="E214" s="3" t="str">
        <f t="shared" si="12"/>
        <v>dump:1121005073&amp;2121005073</v>
      </c>
      <c r="F214" s="3" t="str">
        <f t="shared" si="15"/>
        <v>哑资源设备_211</v>
      </c>
      <c r="G214" s="10" t="s">
        <v>406</v>
      </c>
      <c r="H214" s="3" t="str">
        <f>"检测机架"&amp;INDEX([1]机架!$D:$D,C214+3)&amp;IF(D214&lt;&gt;"","和"&amp;INDEX([1]机架!$D:$D,D214+3),"")&amp;"的数据"</f>
        <v>检测机架东营济南路の机架-10和东营济南路の机架-11的数据</v>
      </c>
      <c r="I214" s="3">
        <f>INDEX([1]机架!$C:$C,C214+3)</f>
        <v>3705001211</v>
      </c>
      <c r="J214" s="3">
        <f>IF(D214&lt;&gt;"",INDEX([1]机架!$C:$C,D214+3),0)</f>
        <v>3705001212</v>
      </c>
    </row>
    <row r="215" spans="1:10" ht="16.5" x14ac:dyDescent="0.2">
      <c r="A215" s="3" t="s">
        <v>393</v>
      </c>
      <c r="B215" s="3">
        <v>212</v>
      </c>
      <c r="C215" s="3">
        <f t="shared" si="13"/>
        <v>423</v>
      </c>
      <c r="D215" s="3">
        <f t="shared" si="14"/>
        <v>424</v>
      </c>
      <c r="E215" s="3" t="str">
        <f t="shared" si="12"/>
        <v>dump:3121005073&amp;1221005073</v>
      </c>
      <c r="F215" s="3" t="str">
        <f t="shared" si="15"/>
        <v>哑资源设备_212</v>
      </c>
      <c r="G215" s="10" t="s">
        <v>406</v>
      </c>
      <c r="H215" s="3" t="str">
        <f>"检测机架"&amp;INDEX([1]机架!$D:$D,C215+3)&amp;IF(D215&lt;&gt;"","和"&amp;INDEX([1]机架!$D:$D,D215+3),"")&amp;"的数据"</f>
        <v>检测机架东营济南路の机架-12和东营济南路の机架-13的数据</v>
      </c>
      <c r="I215" s="3">
        <f>INDEX([1]机架!$C:$C,C215+3)</f>
        <v>3705001213</v>
      </c>
      <c r="J215" s="3">
        <f>IF(D215&lt;&gt;"",INDEX([1]机架!$C:$C,D215+3),0)</f>
        <v>3705001221</v>
      </c>
    </row>
    <row r="216" spans="1:10" ht="16.5" x14ac:dyDescent="0.2">
      <c r="A216" s="3" t="s">
        <v>393</v>
      </c>
      <c r="B216" s="3">
        <v>213</v>
      </c>
      <c r="C216" s="3">
        <f t="shared" si="13"/>
        <v>425</v>
      </c>
      <c r="D216" s="3">
        <f t="shared" si="14"/>
        <v>426</v>
      </c>
      <c r="E216" s="3" t="str">
        <f t="shared" si="12"/>
        <v>dump:2221005073&amp;3221005073</v>
      </c>
      <c r="F216" s="3" t="str">
        <f t="shared" si="15"/>
        <v>哑资源设备_213</v>
      </c>
      <c r="G216" s="10" t="s">
        <v>406</v>
      </c>
      <c r="H216" s="3" t="str">
        <f>"检测机架"&amp;INDEX([1]机架!$D:$D,C216+3)&amp;IF(D216&lt;&gt;"","和"&amp;INDEX([1]机架!$D:$D,D216+3),"")&amp;"的数据"</f>
        <v>检测机架东营济南路の机架-14和东营济南路の机架-15的数据</v>
      </c>
      <c r="I216" s="3">
        <f>INDEX([1]机架!$C:$C,C216+3)</f>
        <v>3705001222</v>
      </c>
      <c r="J216" s="3">
        <f>IF(D216&lt;&gt;"",INDEX([1]机架!$C:$C,D216+3),0)</f>
        <v>3705001223</v>
      </c>
    </row>
    <row r="217" spans="1:10" ht="16.5" x14ac:dyDescent="0.2">
      <c r="A217" s="3" t="s">
        <v>393</v>
      </c>
      <c r="B217" s="3">
        <v>214</v>
      </c>
      <c r="C217" s="3">
        <f t="shared" si="13"/>
        <v>427</v>
      </c>
      <c r="D217" s="3">
        <f t="shared" si="14"/>
        <v>428</v>
      </c>
      <c r="E217" s="3" t="str">
        <f t="shared" si="12"/>
        <v>dump:1321005073&amp;2321005073</v>
      </c>
      <c r="F217" s="3" t="str">
        <f t="shared" si="15"/>
        <v>哑资源设备_214</v>
      </c>
      <c r="G217" s="10" t="s">
        <v>406</v>
      </c>
      <c r="H217" s="3" t="str">
        <f>"检测机架"&amp;INDEX([1]机架!$D:$D,C217+3)&amp;IF(D217&lt;&gt;"","和"&amp;INDEX([1]机架!$D:$D,D217+3),"")&amp;"的数据"</f>
        <v>检测机架东营济南路の机架-16和东营济南路の机架-17的数据</v>
      </c>
      <c r="I217" s="3">
        <f>INDEX([1]机架!$C:$C,C217+3)</f>
        <v>3705001231</v>
      </c>
      <c r="J217" s="3">
        <f>IF(D217&lt;&gt;"",INDEX([1]机架!$C:$C,D217+3),0)</f>
        <v>3705001232</v>
      </c>
    </row>
    <row r="218" spans="1:10" ht="16.5" x14ac:dyDescent="0.2">
      <c r="A218" s="3" t="s">
        <v>393</v>
      </c>
      <c r="B218" s="3">
        <v>215</v>
      </c>
      <c r="C218" s="3">
        <f t="shared" si="13"/>
        <v>429</v>
      </c>
      <c r="D218" s="3">
        <f t="shared" si="14"/>
        <v>430</v>
      </c>
      <c r="E218" s="3" t="str">
        <f t="shared" si="12"/>
        <v>dump:3321005073&amp;1112005073</v>
      </c>
      <c r="F218" s="3" t="str">
        <f t="shared" si="15"/>
        <v>哑资源设备_215</v>
      </c>
      <c r="G218" s="10" t="s">
        <v>406</v>
      </c>
      <c r="H218" s="3" t="str">
        <f>"检测机架"&amp;INDEX([1]机架!$D:$D,C218+3)&amp;IF(D218&lt;&gt;"","和"&amp;INDEX([1]机架!$D:$D,D218+3),"")&amp;"的数据"</f>
        <v>检测机架东营济南路の机架-18和东营运河路の机架-1的数据</v>
      </c>
      <c r="I218" s="3">
        <f>INDEX([1]机架!$C:$C,C218+3)</f>
        <v>3705001233</v>
      </c>
      <c r="J218" s="3">
        <f>IF(D218&lt;&gt;"",INDEX([1]机架!$C:$C,D218+3),0)</f>
        <v>3705002111</v>
      </c>
    </row>
    <row r="219" spans="1:10" ht="16.5" x14ac:dyDescent="0.2">
      <c r="A219" s="3" t="s">
        <v>393</v>
      </c>
      <c r="B219" s="3">
        <v>216</v>
      </c>
      <c r="C219" s="3">
        <f t="shared" si="13"/>
        <v>431</v>
      </c>
      <c r="D219" s="3">
        <f t="shared" si="14"/>
        <v>432</v>
      </c>
      <c r="E219" s="3" t="str">
        <f t="shared" si="12"/>
        <v>dump:2112005073&amp;3112005073</v>
      </c>
      <c r="F219" s="3" t="str">
        <f t="shared" si="15"/>
        <v>哑资源设备_216</v>
      </c>
      <c r="G219" s="10" t="s">
        <v>406</v>
      </c>
      <c r="H219" s="3" t="str">
        <f>"检测机架"&amp;INDEX([1]机架!$D:$D,C219+3)&amp;IF(D219&lt;&gt;"","和"&amp;INDEX([1]机架!$D:$D,D219+3),"")&amp;"的数据"</f>
        <v>检测机架东营运河路の机架-2和东营运河路の机架-3的数据</v>
      </c>
      <c r="I219" s="3">
        <f>INDEX([1]机架!$C:$C,C219+3)</f>
        <v>3705002112</v>
      </c>
      <c r="J219" s="3">
        <f>IF(D219&lt;&gt;"",INDEX([1]机架!$C:$C,D219+3),0)</f>
        <v>3705002113</v>
      </c>
    </row>
    <row r="220" spans="1:10" ht="16.5" x14ac:dyDescent="0.2">
      <c r="A220" s="3" t="s">
        <v>393</v>
      </c>
      <c r="B220" s="3">
        <v>217</v>
      </c>
      <c r="C220" s="3">
        <f t="shared" si="13"/>
        <v>433</v>
      </c>
      <c r="D220" s="3">
        <f t="shared" si="14"/>
        <v>434</v>
      </c>
      <c r="E220" s="3" t="str">
        <f t="shared" si="12"/>
        <v>dump:1212005073&amp;2212005073</v>
      </c>
      <c r="F220" s="3" t="str">
        <f t="shared" si="15"/>
        <v>哑资源设备_217</v>
      </c>
      <c r="G220" s="10" t="s">
        <v>406</v>
      </c>
      <c r="H220" s="3" t="str">
        <f>"检测机架"&amp;INDEX([1]机架!$D:$D,C220+3)&amp;IF(D220&lt;&gt;"","和"&amp;INDEX([1]机架!$D:$D,D220+3),"")&amp;"的数据"</f>
        <v>检测机架东营运河路の机架-4和东营运河路の机架-5的数据</v>
      </c>
      <c r="I220" s="3">
        <f>INDEX([1]机架!$C:$C,C220+3)</f>
        <v>3705002121</v>
      </c>
      <c r="J220" s="3">
        <f>IF(D220&lt;&gt;"",INDEX([1]机架!$C:$C,D220+3),0)</f>
        <v>3705002122</v>
      </c>
    </row>
    <row r="221" spans="1:10" ht="16.5" x14ac:dyDescent="0.2">
      <c r="A221" s="3" t="s">
        <v>393</v>
      </c>
      <c r="B221" s="3">
        <v>218</v>
      </c>
      <c r="C221" s="3">
        <f t="shared" si="13"/>
        <v>435</v>
      </c>
      <c r="D221" s="3">
        <f t="shared" si="14"/>
        <v>436</v>
      </c>
      <c r="E221" s="3" t="str">
        <f t="shared" si="12"/>
        <v>dump:3212005073&amp;1312005073</v>
      </c>
      <c r="F221" s="3" t="str">
        <f t="shared" si="15"/>
        <v>哑资源设备_218</v>
      </c>
      <c r="G221" s="10" t="s">
        <v>406</v>
      </c>
      <c r="H221" s="3" t="str">
        <f>"检测机架"&amp;INDEX([1]机架!$D:$D,C221+3)&amp;IF(D221&lt;&gt;"","和"&amp;INDEX([1]机架!$D:$D,D221+3),"")&amp;"的数据"</f>
        <v>检测机架东营运河路の机架-6和东营运河路の机架-7的数据</v>
      </c>
      <c r="I221" s="3">
        <f>INDEX([1]机架!$C:$C,C221+3)</f>
        <v>3705002123</v>
      </c>
      <c r="J221" s="3">
        <f>IF(D221&lt;&gt;"",INDEX([1]机架!$C:$C,D221+3),0)</f>
        <v>3705002131</v>
      </c>
    </row>
    <row r="222" spans="1:10" ht="16.5" x14ac:dyDescent="0.2">
      <c r="A222" s="3" t="s">
        <v>393</v>
      </c>
      <c r="B222" s="3">
        <v>219</v>
      </c>
      <c r="C222" s="3">
        <f t="shared" si="13"/>
        <v>437</v>
      </c>
      <c r="D222" s="3">
        <f t="shared" si="14"/>
        <v>438</v>
      </c>
      <c r="E222" s="3" t="str">
        <f t="shared" si="12"/>
        <v>dump:2312005073&amp;3312005073</v>
      </c>
      <c r="F222" s="3" t="str">
        <f t="shared" si="15"/>
        <v>哑资源设备_219</v>
      </c>
      <c r="G222" s="10" t="s">
        <v>406</v>
      </c>
      <c r="H222" s="3" t="str">
        <f>"检测机架"&amp;INDEX([1]机架!$D:$D,C222+3)&amp;IF(D222&lt;&gt;"","和"&amp;INDEX([1]机架!$D:$D,D222+3),"")&amp;"的数据"</f>
        <v>检测机架东营运河路の机架-8和东营运河路の机架-9的数据</v>
      </c>
      <c r="I222" s="3">
        <f>INDEX([1]机架!$C:$C,C222+3)</f>
        <v>3705002132</v>
      </c>
      <c r="J222" s="3">
        <f>IF(D222&lt;&gt;"",INDEX([1]机架!$C:$C,D222+3),0)</f>
        <v>3705002133</v>
      </c>
    </row>
    <row r="223" spans="1:10" ht="16.5" x14ac:dyDescent="0.2">
      <c r="A223" s="3" t="s">
        <v>393</v>
      </c>
      <c r="B223" s="3">
        <v>220</v>
      </c>
      <c r="C223" s="3">
        <f t="shared" si="13"/>
        <v>439</v>
      </c>
      <c r="D223" s="3">
        <f t="shared" si="14"/>
        <v>440</v>
      </c>
      <c r="E223" s="3" t="str">
        <f t="shared" si="12"/>
        <v>dump:1113005073&amp;2113005073</v>
      </c>
      <c r="F223" s="3" t="str">
        <f t="shared" si="15"/>
        <v>哑资源设备_220</v>
      </c>
      <c r="G223" s="10" t="s">
        <v>406</v>
      </c>
      <c r="H223" s="3" t="str">
        <f>"检测机架"&amp;INDEX([1]机架!$D:$D,C223+3)&amp;IF(D223&lt;&gt;"","和"&amp;INDEX([1]机架!$D:$D,D223+3),"")&amp;"的数据"</f>
        <v>检测机架利津通信楼の机架-1和利津通信楼の机架-2的数据</v>
      </c>
      <c r="I223" s="3">
        <f>INDEX([1]机架!$C:$C,C223+3)</f>
        <v>3705003111</v>
      </c>
      <c r="J223" s="3">
        <f>IF(D223&lt;&gt;"",INDEX([1]机架!$C:$C,D223+3),0)</f>
        <v>3705003112</v>
      </c>
    </row>
    <row r="224" spans="1:10" ht="16.5" x14ac:dyDescent="0.2">
      <c r="A224" s="3" t="s">
        <v>393</v>
      </c>
      <c r="B224" s="3">
        <v>221</v>
      </c>
      <c r="C224" s="3">
        <f t="shared" si="13"/>
        <v>441</v>
      </c>
      <c r="D224" s="3">
        <f t="shared" si="14"/>
        <v>442</v>
      </c>
      <c r="E224" s="3" t="str">
        <f t="shared" si="12"/>
        <v>dump:3113005073&amp;1213005073</v>
      </c>
      <c r="F224" s="3" t="str">
        <f t="shared" si="15"/>
        <v>哑资源设备_221</v>
      </c>
      <c r="G224" s="10" t="s">
        <v>406</v>
      </c>
      <c r="H224" s="3" t="str">
        <f>"检测机架"&amp;INDEX([1]机架!$D:$D,C224+3)&amp;IF(D224&lt;&gt;"","和"&amp;INDEX([1]机架!$D:$D,D224+3),"")&amp;"的数据"</f>
        <v>检测机架利津通信楼の机架-3和利津通信楼の机架-4的数据</v>
      </c>
      <c r="I224" s="3">
        <f>INDEX([1]机架!$C:$C,C224+3)</f>
        <v>3705003113</v>
      </c>
      <c r="J224" s="3">
        <f>IF(D224&lt;&gt;"",INDEX([1]机架!$C:$C,D224+3),0)</f>
        <v>3705003121</v>
      </c>
    </row>
    <row r="225" spans="1:10" ht="16.5" x14ac:dyDescent="0.2">
      <c r="A225" s="3" t="s">
        <v>393</v>
      </c>
      <c r="B225" s="3">
        <v>222</v>
      </c>
      <c r="C225" s="3">
        <f t="shared" si="13"/>
        <v>443</v>
      </c>
      <c r="D225" s="3">
        <f t="shared" si="14"/>
        <v>444</v>
      </c>
      <c r="E225" s="3" t="str">
        <f t="shared" si="12"/>
        <v>dump:2213005073&amp;3213005073</v>
      </c>
      <c r="F225" s="3" t="str">
        <f t="shared" si="15"/>
        <v>哑资源设备_222</v>
      </c>
      <c r="G225" s="10" t="s">
        <v>406</v>
      </c>
      <c r="H225" s="3" t="str">
        <f>"检测机架"&amp;INDEX([1]机架!$D:$D,C225+3)&amp;IF(D225&lt;&gt;"","和"&amp;INDEX([1]机架!$D:$D,D225+3),"")&amp;"的数据"</f>
        <v>检测机架利津通信楼の机架-5和利津通信楼の机架-6的数据</v>
      </c>
      <c r="I225" s="3">
        <f>INDEX([1]机架!$C:$C,C225+3)</f>
        <v>3705003122</v>
      </c>
      <c r="J225" s="3">
        <f>IF(D225&lt;&gt;"",INDEX([1]机架!$C:$C,D225+3),0)</f>
        <v>3705003123</v>
      </c>
    </row>
    <row r="226" spans="1:10" ht="16.5" x14ac:dyDescent="0.2">
      <c r="A226" s="3" t="s">
        <v>393</v>
      </c>
      <c r="B226" s="3">
        <v>223</v>
      </c>
      <c r="C226" s="3">
        <f t="shared" si="13"/>
        <v>445</v>
      </c>
      <c r="D226" s="3">
        <f t="shared" si="14"/>
        <v>446</v>
      </c>
      <c r="E226" s="3" t="str">
        <f t="shared" si="12"/>
        <v>dump:1313005073&amp;2313005073</v>
      </c>
      <c r="F226" s="3" t="str">
        <f t="shared" si="15"/>
        <v>哑资源设备_223</v>
      </c>
      <c r="G226" s="10" t="s">
        <v>406</v>
      </c>
      <c r="H226" s="3" t="str">
        <f>"检测机架"&amp;INDEX([1]机架!$D:$D,C226+3)&amp;IF(D226&lt;&gt;"","和"&amp;INDEX([1]机架!$D:$D,D226+3),"")&amp;"的数据"</f>
        <v>检测机架利津通信楼の机架-7和利津通信楼の机架-8的数据</v>
      </c>
      <c r="I226" s="3">
        <f>INDEX([1]机架!$C:$C,C226+3)</f>
        <v>3705003131</v>
      </c>
      <c r="J226" s="3">
        <f>IF(D226&lt;&gt;"",INDEX([1]机架!$C:$C,D226+3),0)</f>
        <v>3705003132</v>
      </c>
    </row>
    <row r="227" spans="1:10" ht="16.5" x14ac:dyDescent="0.2">
      <c r="A227" s="3" t="s">
        <v>393</v>
      </c>
      <c r="B227" s="3">
        <v>224</v>
      </c>
      <c r="C227" s="3">
        <f t="shared" si="13"/>
        <v>447</v>
      </c>
      <c r="D227" s="3">
        <f t="shared" si="14"/>
        <v>448</v>
      </c>
      <c r="E227" s="3" t="str">
        <f t="shared" si="12"/>
        <v>dump:3313005073&amp;1114005073</v>
      </c>
      <c r="F227" s="3" t="str">
        <f t="shared" si="15"/>
        <v>哑资源设备_224</v>
      </c>
      <c r="G227" s="10" t="s">
        <v>406</v>
      </c>
      <c r="H227" s="3" t="str">
        <f>"检测机架"&amp;INDEX([1]机架!$D:$D,C227+3)&amp;IF(D227&lt;&gt;"","和"&amp;INDEX([1]机架!$D:$D,D227+3),"")&amp;"的数据"</f>
        <v>检测机架利津通信楼の机架-9和利津陈庄の机架-1的数据</v>
      </c>
      <c r="I227" s="3">
        <f>INDEX([1]机架!$C:$C,C227+3)</f>
        <v>3705003133</v>
      </c>
      <c r="J227" s="3">
        <f>IF(D227&lt;&gt;"",INDEX([1]机架!$C:$C,D227+3),0)</f>
        <v>3705004111</v>
      </c>
    </row>
    <row r="228" spans="1:10" ht="16.5" x14ac:dyDescent="0.2">
      <c r="A228" s="3" t="s">
        <v>393</v>
      </c>
      <c r="B228" s="3">
        <v>225</v>
      </c>
      <c r="C228" s="3">
        <f t="shared" si="13"/>
        <v>449</v>
      </c>
      <c r="D228" s="3">
        <f t="shared" si="14"/>
        <v>450</v>
      </c>
      <c r="E228" s="3" t="str">
        <f t="shared" si="12"/>
        <v>dump:2114005073&amp;3114005073</v>
      </c>
      <c r="F228" s="3" t="str">
        <f t="shared" si="15"/>
        <v>哑资源设备_225</v>
      </c>
      <c r="G228" s="10" t="s">
        <v>406</v>
      </c>
      <c r="H228" s="3" t="str">
        <f>"检测机架"&amp;INDEX([1]机架!$D:$D,C228+3)&amp;IF(D228&lt;&gt;"","和"&amp;INDEX([1]机架!$D:$D,D228+3),"")&amp;"的数据"</f>
        <v>检测机架利津陈庄の机架-2和利津陈庄の机架-3的数据</v>
      </c>
      <c r="I228" s="3">
        <f>INDEX([1]机架!$C:$C,C228+3)</f>
        <v>3705004112</v>
      </c>
      <c r="J228" s="3">
        <f>IF(D228&lt;&gt;"",INDEX([1]机架!$C:$C,D228+3),0)</f>
        <v>3705004113</v>
      </c>
    </row>
    <row r="229" spans="1:10" ht="16.5" x14ac:dyDescent="0.2">
      <c r="A229" s="3" t="s">
        <v>393</v>
      </c>
      <c r="B229" s="3">
        <v>226</v>
      </c>
      <c r="C229" s="3">
        <f t="shared" si="13"/>
        <v>451</v>
      </c>
      <c r="D229" s="3">
        <f t="shared" si="14"/>
        <v>452</v>
      </c>
      <c r="E229" s="3" t="str">
        <f t="shared" si="12"/>
        <v>dump:1214005073&amp;2214005073</v>
      </c>
      <c r="F229" s="3" t="str">
        <f t="shared" si="15"/>
        <v>哑资源设备_226</v>
      </c>
      <c r="G229" s="10" t="s">
        <v>406</v>
      </c>
      <c r="H229" s="3" t="str">
        <f>"检测机架"&amp;INDEX([1]机架!$D:$D,C229+3)&amp;IF(D229&lt;&gt;"","和"&amp;INDEX([1]机架!$D:$D,D229+3),"")&amp;"的数据"</f>
        <v>检测机架利津陈庄の机架-4和利津陈庄の机架-5的数据</v>
      </c>
      <c r="I229" s="3">
        <f>INDEX([1]机架!$C:$C,C229+3)</f>
        <v>3705004121</v>
      </c>
      <c r="J229" s="3">
        <f>IF(D229&lt;&gt;"",INDEX([1]机架!$C:$C,D229+3),0)</f>
        <v>3705004122</v>
      </c>
    </row>
    <row r="230" spans="1:10" ht="16.5" x14ac:dyDescent="0.2">
      <c r="A230" s="3" t="s">
        <v>393</v>
      </c>
      <c r="B230" s="3">
        <v>227</v>
      </c>
      <c r="C230" s="3">
        <f t="shared" si="13"/>
        <v>453</v>
      </c>
      <c r="D230" s="3">
        <f t="shared" si="14"/>
        <v>454</v>
      </c>
      <c r="E230" s="3" t="str">
        <f t="shared" si="12"/>
        <v>dump:3214005073&amp;1314005073</v>
      </c>
      <c r="F230" s="3" t="str">
        <f t="shared" si="15"/>
        <v>哑资源设备_227</v>
      </c>
      <c r="G230" s="10" t="s">
        <v>406</v>
      </c>
      <c r="H230" s="3" t="str">
        <f>"检测机架"&amp;INDEX([1]机架!$D:$D,C230+3)&amp;IF(D230&lt;&gt;"","和"&amp;INDEX([1]机架!$D:$D,D230+3),"")&amp;"的数据"</f>
        <v>检测机架利津陈庄の机架-6和利津陈庄の机架-7的数据</v>
      </c>
      <c r="I230" s="3">
        <f>INDEX([1]机架!$C:$C,C230+3)</f>
        <v>3705004123</v>
      </c>
      <c r="J230" s="3">
        <f>IF(D230&lt;&gt;"",INDEX([1]机架!$C:$C,D230+3),0)</f>
        <v>3705004131</v>
      </c>
    </row>
    <row r="231" spans="1:10" ht="16.5" x14ac:dyDescent="0.2">
      <c r="A231" s="3" t="s">
        <v>393</v>
      </c>
      <c r="B231" s="3">
        <v>228</v>
      </c>
      <c r="C231" s="3">
        <f t="shared" si="13"/>
        <v>455</v>
      </c>
      <c r="D231" s="3">
        <f t="shared" si="14"/>
        <v>456</v>
      </c>
      <c r="E231" s="3" t="str">
        <f t="shared" si="12"/>
        <v>dump:2314005073&amp;3314005073</v>
      </c>
      <c r="F231" s="3" t="str">
        <f t="shared" si="15"/>
        <v>哑资源设备_228</v>
      </c>
      <c r="G231" s="10" t="s">
        <v>406</v>
      </c>
      <c r="H231" s="3" t="str">
        <f>"检测机架"&amp;INDEX([1]机架!$D:$D,C231+3)&amp;IF(D231&lt;&gt;"","和"&amp;INDEX([1]机架!$D:$D,D231+3),"")&amp;"的数据"</f>
        <v>检测机架利津陈庄の机架-8和利津陈庄の机架-9的数据</v>
      </c>
      <c r="I231" s="3">
        <f>INDEX([1]机架!$C:$C,C231+3)</f>
        <v>3705004132</v>
      </c>
      <c r="J231" s="3">
        <f>IF(D231&lt;&gt;"",INDEX([1]机架!$C:$C,D231+3),0)</f>
        <v>3705004133</v>
      </c>
    </row>
    <row r="232" spans="1:10" ht="16.5" x14ac:dyDescent="0.2">
      <c r="A232" s="3" t="s">
        <v>393</v>
      </c>
      <c r="B232" s="3">
        <v>229</v>
      </c>
      <c r="C232" s="3">
        <f t="shared" si="13"/>
        <v>457</v>
      </c>
      <c r="D232" s="3">
        <f t="shared" si="14"/>
        <v>458</v>
      </c>
      <c r="E232" s="3" t="str">
        <f t="shared" si="12"/>
        <v>dump:1115005073&amp;2115005073</v>
      </c>
      <c r="F232" s="3" t="str">
        <f t="shared" si="15"/>
        <v>哑资源设备_229</v>
      </c>
      <c r="G232" s="10" t="s">
        <v>406</v>
      </c>
      <c r="H232" s="3" t="str">
        <f>"检测机架"&amp;INDEX([1]机架!$D:$D,C232+3)&amp;IF(D232&lt;&gt;"","和"&amp;INDEX([1]机架!$D:$D,D232+3),"")&amp;"的数据"</f>
        <v>检测机架垦利の机架-1和垦利の机架-2的数据</v>
      </c>
      <c r="I232" s="3">
        <f>INDEX([1]机架!$C:$C,C232+3)</f>
        <v>3705005111</v>
      </c>
      <c r="J232" s="3">
        <f>IF(D232&lt;&gt;"",INDEX([1]机架!$C:$C,D232+3),0)</f>
        <v>3705005112</v>
      </c>
    </row>
    <row r="233" spans="1:10" ht="16.5" x14ac:dyDescent="0.2">
      <c r="A233" s="3" t="s">
        <v>393</v>
      </c>
      <c r="B233" s="3">
        <v>230</v>
      </c>
      <c r="C233" s="3">
        <f t="shared" si="13"/>
        <v>459</v>
      </c>
      <c r="D233" s="3">
        <f t="shared" si="14"/>
        <v>460</v>
      </c>
      <c r="E233" s="3" t="str">
        <f t="shared" si="12"/>
        <v>dump:3115005073&amp;1215005073</v>
      </c>
      <c r="F233" s="3" t="str">
        <f t="shared" si="15"/>
        <v>哑资源设备_230</v>
      </c>
      <c r="G233" s="10" t="s">
        <v>406</v>
      </c>
      <c r="H233" s="3" t="str">
        <f>"检测机架"&amp;INDEX([1]机架!$D:$D,C233+3)&amp;IF(D233&lt;&gt;"","和"&amp;INDEX([1]机架!$D:$D,D233+3),"")&amp;"的数据"</f>
        <v>检测机架垦利の机架-3和垦利の机架-4的数据</v>
      </c>
      <c r="I233" s="3">
        <f>INDEX([1]机架!$C:$C,C233+3)</f>
        <v>3705005113</v>
      </c>
      <c r="J233" s="3">
        <f>IF(D233&lt;&gt;"",INDEX([1]机架!$C:$C,D233+3),0)</f>
        <v>3705005121</v>
      </c>
    </row>
    <row r="234" spans="1:10" ht="16.5" x14ac:dyDescent="0.2">
      <c r="A234" s="3" t="s">
        <v>393</v>
      </c>
      <c r="B234" s="3">
        <v>231</v>
      </c>
      <c r="C234" s="3">
        <f t="shared" si="13"/>
        <v>461</v>
      </c>
      <c r="D234" s="3">
        <f t="shared" si="14"/>
        <v>462</v>
      </c>
      <c r="E234" s="3" t="str">
        <f t="shared" si="12"/>
        <v>dump:2215005073&amp;3215005073</v>
      </c>
      <c r="F234" s="3" t="str">
        <f t="shared" si="15"/>
        <v>哑资源设备_231</v>
      </c>
      <c r="G234" s="10" t="s">
        <v>406</v>
      </c>
      <c r="H234" s="3" t="str">
        <f>"检测机架"&amp;INDEX([1]机架!$D:$D,C234+3)&amp;IF(D234&lt;&gt;"","和"&amp;INDEX([1]机架!$D:$D,D234+3),"")&amp;"的数据"</f>
        <v>检测机架垦利の机架-5和垦利の机架-6的数据</v>
      </c>
      <c r="I234" s="3">
        <f>INDEX([1]机架!$C:$C,C234+3)</f>
        <v>3705005122</v>
      </c>
      <c r="J234" s="3">
        <f>IF(D234&lt;&gt;"",INDEX([1]机架!$C:$C,D234+3),0)</f>
        <v>3705005123</v>
      </c>
    </row>
    <row r="235" spans="1:10" ht="16.5" x14ac:dyDescent="0.2">
      <c r="A235" s="3" t="s">
        <v>393</v>
      </c>
      <c r="B235" s="3">
        <v>232</v>
      </c>
      <c r="C235" s="3">
        <f t="shared" si="13"/>
        <v>463</v>
      </c>
      <c r="D235" s="3">
        <f t="shared" si="14"/>
        <v>464</v>
      </c>
      <c r="E235" s="3" t="str">
        <f t="shared" si="12"/>
        <v>dump:1315005073&amp;2315005073</v>
      </c>
      <c r="F235" s="3" t="str">
        <f t="shared" si="15"/>
        <v>哑资源设备_232</v>
      </c>
      <c r="G235" s="10" t="s">
        <v>406</v>
      </c>
      <c r="H235" s="3" t="str">
        <f>"检测机架"&amp;INDEX([1]机架!$D:$D,C235+3)&amp;IF(D235&lt;&gt;"","和"&amp;INDEX([1]机架!$D:$D,D235+3),"")&amp;"的数据"</f>
        <v>检测机架垦利の机架-7和垦利の机架-8的数据</v>
      </c>
      <c r="I235" s="3">
        <f>INDEX([1]机架!$C:$C,C235+3)</f>
        <v>3705005131</v>
      </c>
      <c r="J235" s="3">
        <f>IF(D235&lt;&gt;"",INDEX([1]机架!$C:$C,D235+3),0)</f>
        <v>3705005132</v>
      </c>
    </row>
    <row r="236" spans="1:10" ht="16.5" x14ac:dyDescent="0.2">
      <c r="A236" s="3" t="s">
        <v>393</v>
      </c>
      <c r="B236" s="3">
        <v>233</v>
      </c>
      <c r="C236" s="3">
        <f t="shared" si="13"/>
        <v>465</v>
      </c>
      <c r="D236" s="3">
        <f t="shared" si="14"/>
        <v>466</v>
      </c>
      <c r="E236" s="3" t="str">
        <f t="shared" si="12"/>
        <v>dump:3315005073&amp;1116005073</v>
      </c>
      <c r="F236" s="3" t="str">
        <f t="shared" si="15"/>
        <v>哑资源设备_233</v>
      </c>
      <c r="G236" s="10" t="s">
        <v>406</v>
      </c>
      <c r="H236" s="3" t="str">
        <f>"检测机架"&amp;INDEX([1]机架!$D:$D,C236+3)&amp;IF(D236&lt;&gt;"","和"&amp;INDEX([1]机架!$D:$D,D236+3),"")&amp;"的数据"</f>
        <v>检测机架垦利の机架-9和广饶の机架-1的数据</v>
      </c>
      <c r="I236" s="3">
        <f>INDEX([1]机架!$C:$C,C236+3)</f>
        <v>3705005133</v>
      </c>
      <c r="J236" s="3">
        <f>IF(D236&lt;&gt;"",INDEX([1]机架!$C:$C,D236+3),0)</f>
        <v>3705006111</v>
      </c>
    </row>
    <row r="237" spans="1:10" ht="16.5" x14ac:dyDescent="0.2">
      <c r="A237" s="3" t="s">
        <v>393</v>
      </c>
      <c r="B237" s="3">
        <v>234</v>
      </c>
      <c r="C237" s="3">
        <f t="shared" si="13"/>
        <v>467</v>
      </c>
      <c r="D237" s="3">
        <f t="shared" si="14"/>
        <v>468</v>
      </c>
      <c r="E237" s="3" t="str">
        <f t="shared" si="12"/>
        <v>dump:2116005073&amp;3116005073</v>
      </c>
      <c r="F237" s="3" t="str">
        <f t="shared" si="15"/>
        <v>哑资源设备_234</v>
      </c>
      <c r="G237" s="10" t="s">
        <v>406</v>
      </c>
      <c r="H237" s="3" t="str">
        <f>"检测机架"&amp;INDEX([1]机架!$D:$D,C237+3)&amp;IF(D237&lt;&gt;"","和"&amp;INDEX([1]机架!$D:$D,D237+3),"")&amp;"的数据"</f>
        <v>检测机架广饶の机架-2和广饶の机架-3的数据</v>
      </c>
      <c r="I237" s="3">
        <f>INDEX([1]机架!$C:$C,C237+3)</f>
        <v>3705006112</v>
      </c>
      <c r="J237" s="3">
        <f>IF(D237&lt;&gt;"",INDEX([1]机架!$C:$C,D237+3),0)</f>
        <v>3705006113</v>
      </c>
    </row>
    <row r="238" spans="1:10" ht="16.5" x14ac:dyDescent="0.2">
      <c r="A238" s="3" t="s">
        <v>393</v>
      </c>
      <c r="B238" s="3">
        <v>235</v>
      </c>
      <c r="C238" s="3">
        <f t="shared" si="13"/>
        <v>469</v>
      </c>
      <c r="D238" s="3">
        <f t="shared" si="14"/>
        <v>470</v>
      </c>
      <c r="E238" s="3" t="str">
        <f t="shared" si="12"/>
        <v>dump:1216005073&amp;2216005073</v>
      </c>
      <c r="F238" s="3" t="str">
        <f t="shared" si="15"/>
        <v>哑资源设备_235</v>
      </c>
      <c r="G238" s="10" t="s">
        <v>406</v>
      </c>
      <c r="H238" s="3" t="str">
        <f>"检测机架"&amp;INDEX([1]机架!$D:$D,C238+3)&amp;IF(D238&lt;&gt;"","和"&amp;INDEX([1]机架!$D:$D,D238+3),"")&amp;"的数据"</f>
        <v>检测机架广饶の机架-4和广饶の机架-5的数据</v>
      </c>
      <c r="I238" s="3">
        <f>INDEX([1]机架!$C:$C,C238+3)</f>
        <v>3705006121</v>
      </c>
      <c r="J238" s="3">
        <f>IF(D238&lt;&gt;"",INDEX([1]机架!$C:$C,D238+3),0)</f>
        <v>3705006122</v>
      </c>
    </row>
    <row r="239" spans="1:10" ht="16.5" x14ac:dyDescent="0.2">
      <c r="A239" s="3" t="s">
        <v>393</v>
      </c>
      <c r="B239" s="3">
        <v>236</v>
      </c>
      <c r="C239" s="3">
        <f t="shared" si="13"/>
        <v>471</v>
      </c>
      <c r="D239" s="3">
        <f t="shared" si="14"/>
        <v>472</v>
      </c>
      <c r="E239" s="3" t="str">
        <f t="shared" si="12"/>
        <v>dump:3216005073&amp;1316005073</v>
      </c>
      <c r="F239" s="3" t="str">
        <f t="shared" si="15"/>
        <v>哑资源设备_236</v>
      </c>
      <c r="G239" s="10" t="s">
        <v>406</v>
      </c>
      <c r="H239" s="3" t="str">
        <f>"检测机架"&amp;INDEX([1]机架!$D:$D,C239+3)&amp;IF(D239&lt;&gt;"","和"&amp;INDEX([1]机架!$D:$D,D239+3),"")&amp;"的数据"</f>
        <v>检测机架广饶の机架-6和广饶の机架-7的数据</v>
      </c>
      <c r="I239" s="3">
        <f>INDEX([1]机架!$C:$C,C239+3)</f>
        <v>3705006123</v>
      </c>
      <c r="J239" s="3">
        <f>IF(D239&lt;&gt;"",INDEX([1]机架!$C:$C,D239+3),0)</f>
        <v>3705006131</v>
      </c>
    </row>
    <row r="240" spans="1:10" ht="16.5" x14ac:dyDescent="0.2">
      <c r="A240" s="3" t="s">
        <v>393</v>
      </c>
      <c r="B240" s="3">
        <v>237</v>
      </c>
      <c r="C240" s="3">
        <f t="shared" si="13"/>
        <v>473</v>
      </c>
      <c r="D240" s="3">
        <f t="shared" si="14"/>
        <v>474</v>
      </c>
      <c r="E240" s="3" t="str">
        <f t="shared" si="12"/>
        <v>dump:2316005073&amp;3316005073</v>
      </c>
      <c r="F240" s="3" t="str">
        <f t="shared" si="15"/>
        <v>哑资源设备_237</v>
      </c>
      <c r="G240" s="10" t="s">
        <v>406</v>
      </c>
      <c r="H240" s="3" t="str">
        <f>"检测机架"&amp;INDEX([1]机架!$D:$D,C240+3)&amp;IF(D240&lt;&gt;"","和"&amp;INDEX([1]机架!$D:$D,D240+3),"")&amp;"的数据"</f>
        <v>检测机架广饶の机架-8和广饶の机架-9的数据</v>
      </c>
      <c r="I240" s="3">
        <f>INDEX([1]机架!$C:$C,C240+3)</f>
        <v>3705006132</v>
      </c>
      <c r="J240" s="3">
        <f>IF(D240&lt;&gt;"",INDEX([1]机架!$C:$C,D240+3),0)</f>
        <v>3705006133</v>
      </c>
    </row>
    <row r="241" spans="1:10" ht="16.5" x14ac:dyDescent="0.2">
      <c r="A241" s="3" t="s">
        <v>393</v>
      </c>
      <c r="B241" s="3">
        <v>238</v>
      </c>
      <c r="C241" s="3">
        <f t="shared" si="13"/>
        <v>475</v>
      </c>
      <c r="D241" s="3">
        <f t="shared" si="14"/>
        <v>476</v>
      </c>
      <c r="E241" s="3" t="str">
        <f t="shared" si="12"/>
        <v>dump:1111006073&amp;2111006073</v>
      </c>
      <c r="F241" s="3" t="str">
        <f t="shared" si="15"/>
        <v>哑资源设备_238</v>
      </c>
      <c r="G241" s="10" t="s">
        <v>406</v>
      </c>
      <c r="H241" s="3" t="str">
        <f>"检测机架"&amp;INDEX([1]机架!$D:$D,C241+3)&amp;IF(D241&lt;&gt;"","和"&amp;INDEX([1]机架!$D:$D,D241+3),"")&amp;"的数据"</f>
        <v>检测机架烟台大季家の机架-1和烟台大季家の机架-2的数据</v>
      </c>
      <c r="I241" s="3">
        <f>INDEX([1]机架!$C:$C,C241+3)</f>
        <v>3706001111</v>
      </c>
      <c r="J241" s="3">
        <f>IF(D241&lt;&gt;"",INDEX([1]机架!$C:$C,D241+3),0)</f>
        <v>3706001112</v>
      </c>
    </row>
    <row r="242" spans="1:10" ht="16.5" x14ac:dyDescent="0.2">
      <c r="A242" s="3" t="s">
        <v>393</v>
      </c>
      <c r="B242" s="3">
        <v>239</v>
      </c>
      <c r="C242" s="3">
        <f t="shared" si="13"/>
        <v>477</v>
      </c>
      <c r="D242" s="3">
        <f t="shared" si="14"/>
        <v>478</v>
      </c>
      <c r="E242" s="3" t="str">
        <f t="shared" si="12"/>
        <v>dump:3111006073&amp;1211006073</v>
      </c>
      <c r="F242" s="3" t="str">
        <f t="shared" si="15"/>
        <v>哑资源设备_239</v>
      </c>
      <c r="G242" s="10" t="s">
        <v>406</v>
      </c>
      <c r="H242" s="3" t="str">
        <f>"检测机架"&amp;INDEX([1]机架!$D:$D,C242+3)&amp;IF(D242&lt;&gt;"","和"&amp;INDEX([1]机架!$D:$D,D242+3),"")&amp;"的数据"</f>
        <v>检测机架烟台大季家の机架-3和烟台大季家の机架-4的数据</v>
      </c>
      <c r="I242" s="3">
        <f>INDEX([1]机架!$C:$C,C242+3)</f>
        <v>3706001113</v>
      </c>
      <c r="J242" s="3">
        <f>IF(D242&lt;&gt;"",INDEX([1]机架!$C:$C,D242+3),0)</f>
        <v>3706001121</v>
      </c>
    </row>
    <row r="243" spans="1:10" ht="16.5" x14ac:dyDescent="0.2">
      <c r="A243" s="3" t="s">
        <v>393</v>
      </c>
      <c r="B243" s="3">
        <v>240</v>
      </c>
      <c r="C243" s="3">
        <f t="shared" si="13"/>
        <v>479</v>
      </c>
      <c r="D243" s="3">
        <f t="shared" si="14"/>
        <v>480</v>
      </c>
      <c r="E243" s="3" t="str">
        <f t="shared" si="12"/>
        <v>dump:2211006073&amp;3211006073</v>
      </c>
      <c r="F243" s="3" t="str">
        <f t="shared" si="15"/>
        <v>哑资源设备_240</v>
      </c>
      <c r="G243" s="10" t="s">
        <v>406</v>
      </c>
      <c r="H243" s="3" t="str">
        <f>"检测机架"&amp;INDEX([1]机架!$D:$D,C243+3)&amp;IF(D243&lt;&gt;"","和"&amp;INDEX([1]机架!$D:$D,D243+3),"")&amp;"的数据"</f>
        <v>检测机架烟台大季家の机架-5和烟台大季家の机架-6的数据</v>
      </c>
      <c r="I243" s="3">
        <f>INDEX([1]机架!$C:$C,C243+3)</f>
        <v>3706001122</v>
      </c>
      <c r="J243" s="3">
        <f>IF(D243&lt;&gt;"",INDEX([1]机架!$C:$C,D243+3),0)</f>
        <v>3706001123</v>
      </c>
    </row>
    <row r="244" spans="1:10" ht="16.5" x14ac:dyDescent="0.2">
      <c r="A244" s="3" t="s">
        <v>393</v>
      </c>
      <c r="B244" s="3">
        <v>241</v>
      </c>
      <c r="C244" s="3">
        <f t="shared" si="13"/>
        <v>481</v>
      </c>
      <c r="D244" s="3">
        <f t="shared" si="14"/>
        <v>482</v>
      </c>
      <c r="E244" s="3" t="str">
        <f t="shared" si="12"/>
        <v>dump:1311006073&amp;2311006073</v>
      </c>
      <c r="F244" s="3" t="str">
        <f t="shared" si="15"/>
        <v>哑资源设备_241</v>
      </c>
      <c r="G244" s="10" t="s">
        <v>406</v>
      </c>
      <c r="H244" s="3" t="str">
        <f>"检测机架"&amp;INDEX([1]机架!$D:$D,C244+3)&amp;IF(D244&lt;&gt;"","和"&amp;INDEX([1]机架!$D:$D,D244+3),"")&amp;"的数据"</f>
        <v>检测机架烟台大季家の机架-7和烟台大季家の机架-8的数据</v>
      </c>
      <c r="I244" s="3">
        <f>INDEX([1]机架!$C:$C,C244+3)</f>
        <v>3706001131</v>
      </c>
      <c r="J244" s="3">
        <f>IF(D244&lt;&gt;"",INDEX([1]机架!$C:$C,D244+3),0)</f>
        <v>3706001132</v>
      </c>
    </row>
    <row r="245" spans="1:10" ht="16.5" x14ac:dyDescent="0.2">
      <c r="A245" s="3" t="s">
        <v>393</v>
      </c>
      <c r="B245" s="3">
        <v>242</v>
      </c>
      <c r="C245" s="3">
        <f t="shared" si="13"/>
        <v>483</v>
      </c>
      <c r="D245" s="3">
        <f t="shared" si="14"/>
        <v>484</v>
      </c>
      <c r="E245" s="3" t="str">
        <f t="shared" si="12"/>
        <v>dump:3311006073&amp;1121006073</v>
      </c>
      <c r="F245" s="3" t="str">
        <f t="shared" si="15"/>
        <v>哑资源设备_242</v>
      </c>
      <c r="G245" s="10" t="s">
        <v>406</v>
      </c>
      <c r="H245" s="3" t="str">
        <f>"检测机架"&amp;INDEX([1]机架!$D:$D,C245+3)&amp;IF(D245&lt;&gt;"","和"&amp;INDEX([1]机架!$D:$D,D245+3),"")&amp;"的数据"</f>
        <v>检测机架烟台大季家の机架-9和烟台大季家の机架-10的数据</v>
      </c>
      <c r="I245" s="3">
        <f>INDEX([1]机架!$C:$C,C245+3)</f>
        <v>3706001133</v>
      </c>
      <c r="J245" s="3">
        <f>IF(D245&lt;&gt;"",INDEX([1]机架!$C:$C,D245+3),0)</f>
        <v>3706001211</v>
      </c>
    </row>
    <row r="246" spans="1:10" ht="16.5" x14ac:dyDescent="0.2">
      <c r="A246" s="3" t="s">
        <v>393</v>
      </c>
      <c r="B246" s="3">
        <v>243</v>
      </c>
      <c r="C246" s="3">
        <f t="shared" si="13"/>
        <v>485</v>
      </c>
      <c r="D246" s="3">
        <f t="shared" si="14"/>
        <v>486</v>
      </c>
      <c r="E246" s="3" t="str">
        <f t="shared" si="12"/>
        <v>dump:2121006073&amp;3121006073</v>
      </c>
      <c r="F246" s="3" t="str">
        <f t="shared" si="15"/>
        <v>哑资源设备_243</v>
      </c>
      <c r="G246" s="10" t="s">
        <v>406</v>
      </c>
      <c r="H246" s="3" t="str">
        <f>"检测机架"&amp;INDEX([1]机架!$D:$D,C246+3)&amp;IF(D246&lt;&gt;"","和"&amp;INDEX([1]机架!$D:$D,D246+3),"")&amp;"的数据"</f>
        <v>检测机架烟台大季家の机架-11和烟台大季家の机架-12的数据</v>
      </c>
      <c r="I246" s="3">
        <f>INDEX([1]机架!$C:$C,C246+3)</f>
        <v>3706001212</v>
      </c>
      <c r="J246" s="3">
        <f>IF(D246&lt;&gt;"",INDEX([1]机架!$C:$C,D246+3),0)</f>
        <v>3706001213</v>
      </c>
    </row>
    <row r="247" spans="1:10" ht="16.5" x14ac:dyDescent="0.2">
      <c r="A247" s="3" t="s">
        <v>393</v>
      </c>
      <c r="B247" s="3">
        <v>244</v>
      </c>
      <c r="C247" s="3">
        <f t="shared" si="13"/>
        <v>487</v>
      </c>
      <c r="D247" s="3">
        <f t="shared" si="14"/>
        <v>488</v>
      </c>
      <c r="E247" s="3" t="str">
        <f t="shared" si="12"/>
        <v>dump:1221006073&amp;2221006073</v>
      </c>
      <c r="F247" s="3" t="str">
        <f t="shared" si="15"/>
        <v>哑资源设备_244</v>
      </c>
      <c r="G247" s="10" t="s">
        <v>406</v>
      </c>
      <c r="H247" s="3" t="str">
        <f>"检测机架"&amp;INDEX([1]机架!$D:$D,C247+3)&amp;IF(D247&lt;&gt;"","和"&amp;INDEX([1]机架!$D:$D,D247+3),"")&amp;"的数据"</f>
        <v>检测机架烟台大季家の机架-13和烟台大季家の机架-14的数据</v>
      </c>
      <c r="I247" s="3">
        <f>INDEX([1]机架!$C:$C,C247+3)</f>
        <v>3706001221</v>
      </c>
      <c r="J247" s="3">
        <f>IF(D247&lt;&gt;"",INDEX([1]机架!$C:$C,D247+3),0)</f>
        <v>3706001222</v>
      </c>
    </row>
    <row r="248" spans="1:10" ht="16.5" x14ac:dyDescent="0.2">
      <c r="A248" s="3" t="s">
        <v>393</v>
      </c>
      <c r="B248" s="3">
        <v>245</v>
      </c>
      <c r="C248" s="3">
        <f t="shared" si="13"/>
        <v>489</v>
      </c>
      <c r="D248" s="3">
        <f t="shared" si="14"/>
        <v>490</v>
      </c>
      <c r="E248" s="3" t="str">
        <f t="shared" si="12"/>
        <v>dump:3221006073&amp;1321006073</v>
      </c>
      <c r="F248" s="3" t="str">
        <f t="shared" si="15"/>
        <v>哑资源设备_245</v>
      </c>
      <c r="G248" s="10" t="s">
        <v>406</v>
      </c>
      <c r="H248" s="3" t="str">
        <f>"检测机架"&amp;INDEX([1]机架!$D:$D,C248+3)&amp;IF(D248&lt;&gt;"","和"&amp;INDEX([1]机架!$D:$D,D248+3),"")&amp;"的数据"</f>
        <v>检测机架烟台大季家の机架-15和烟台大季家の机架-16的数据</v>
      </c>
      <c r="I248" s="3">
        <f>INDEX([1]机架!$C:$C,C248+3)</f>
        <v>3706001223</v>
      </c>
      <c r="J248" s="3">
        <f>IF(D248&lt;&gt;"",INDEX([1]机架!$C:$C,D248+3),0)</f>
        <v>3706001231</v>
      </c>
    </row>
    <row r="249" spans="1:10" ht="16.5" x14ac:dyDescent="0.2">
      <c r="A249" s="3" t="s">
        <v>393</v>
      </c>
      <c r="B249" s="3">
        <v>246</v>
      </c>
      <c r="C249" s="3">
        <f t="shared" si="13"/>
        <v>491</v>
      </c>
      <c r="D249" s="3">
        <f t="shared" si="14"/>
        <v>492</v>
      </c>
      <c r="E249" s="3" t="str">
        <f t="shared" si="12"/>
        <v>dump:2321006073&amp;3321006073</v>
      </c>
      <c r="F249" s="3" t="str">
        <f t="shared" si="15"/>
        <v>哑资源设备_246</v>
      </c>
      <c r="G249" s="10" t="s">
        <v>406</v>
      </c>
      <c r="H249" s="3" t="str">
        <f>"检测机架"&amp;INDEX([1]机架!$D:$D,C249+3)&amp;IF(D249&lt;&gt;"","和"&amp;INDEX([1]机架!$D:$D,D249+3),"")&amp;"的数据"</f>
        <v>检测机架烟台大季家の机架-17和烟台大季家の机架-18的数据</v>
      </c>
      <c r="I249" s="3">
        <f>INDEX([1]机架!$C:$C,C249+3)</f>
        <v>3706001232</v>
      </c>
      <c r="J249" s="3">
        <f>IF(D249&lt;&gt;"",INDEX([1]机架!$C:$C,D249+3),0)</f>
        <v>3706001233</v>
      </c>
    </row>
    <row r="250" spans="1:10" ht="16.5" x14ac:dyDescent="0.2">
      <c r="A250" s="3" t="s">
        <v>393</v>
      </c>
      <c r="B250" s="3">
        <v>247</v>
      </c>
      <c r="C250" s="3">
        <f t="shared" si="13"/>
        <v>493</v>
      </c>
      <c r="D250" s="3">
        <f t="shared" si="14"/>
        <v>494</v>
      </c>
      <c r="E250" s="3" t="str">
        <f t="shared" si="12"/>
        <v>dump:1112006073&amp;2112006073</v>
      </c>
      <c r="F250" s="3" t="str">
        <f t="shared" si="15"/>
        <v>哑资源设备_247</v>
      </c>
      <c r="G250" s="10" t="s">
        <v>406</v>
      </c>
      <c r="H250" s="3" t="str">
        <f>"检测机架"&amp;INDEX([1]机架!$D:$D,C250+3)&amp;IF(D250&lt;&gt;"","和"&amp;INDEX([1]机架!$D:$D,D250+3),"")&amp;"的数据"</f>
        <v>检测机架烟台大海阳の机架-1和烟台大海阳の机架-2的数据</v>
      </c>
      <c r="I250" s="3">
        <f>INDEX([1]机架!$C:$C,C250+3)</f>
        <v>3706002111</v>
      </c>
      <c r="J250" s="3">
        <f>IF(D250&lt;&gt;"",INDEX([1]机架!$C:$C,D250+3),0)</f>
        <v>3706002112</v>
      </c>
    </row>
    <row r="251" spans="1:10" ht="16.5" x14ac:dyDescent="0.2">
      <c r="A251" s="3" t="s">
        <v>393</v>
      </c>
      <c r="B251" s="3">
        <v>248</v>
      </c>
      <c r="C251" s="3">
        <f t="shared" si="13"/>
        <v>495</v>
      </c>
      <c r="D251" s="3">
        <f t="shared" si="14"/>
        <v>496</v>
      </c>
      <c r="E251" s="3" t="str">
        <f t="shared" si="12"/>
        <v>dump:3112006073&amp;1212006073</v>
      </c>
      <c r="F251" s="3" t="str">
        <f t="shared" si="15"/>
        <v>哑资源设备_248</v>
      </c>
      <c r="G251" s="10" t="s">
        <v>406</v>
      </c>
      <c r="H251" s="3" t="str">
        <f>"检测机架"&amp;INDEX([1]机架!$D:$D,C251+3)&amp;IF(D251&lt;&gt;"","和"&amp;INDEX([1]机架!$D:$D,D251+3),"")&amp;"的数据"</f>
        <v>检测机架烟台大海阳の机架-3和烟台大海阳の机架-4的数据</v>
      </c>
      <c r="I251" s="3">
        <f>INDEX([1]机架!$C:$C,C251+3)</f>
        <v>3706002113</v>
      </c>
      <c r="J251" s="3">
        <f>IF(D251&lt;&gt;"",INDEX([1]机架!$C:$C,D251+3),0)</f>
        <v>3706002121</v>
      </c>
    </row>
    <row r="252" spans="1:10" ht="16.5" x14ac:dyDescent="0.2">
      <c r="A252" s="3" t="s">
        <v>393</v>
      </c>
      <c r="B252" s="3">
        <v>249</v>
      </c>
      <c r="C252" s="3">
        <f t="shared" si="13"/>
        <v>497</v>
      </c>
      <c r="D252" s="3">
        <f t="shared" si="14"/>
        <v>498</v>
      </c>
      <c r="E252" s="3" t="str">
        <f t="shared" si="12"/>
        <v>dump:2212006073&amp;3212006073</v>
      </c>
      <c r="F252" s="3" t="str">
        <f t="shared" si="15"/>
        <v>哑资源设备_249</v>
      </c>
      <c r="G252" s="10" t="s">
        <v>406</v>
      </c>
      <c r="H252" s="3" t="str">
        <f>"检测机架"&amp;INDEX([1]机架!$D:$D,C252+3)&amp;IF(D252&lt;&gt;"","和"&amp;INDEX([1]机架!$D:$D,D252+3),"")&amp;"的数据"</f>
        <v>检测机架烟台大海阳の机架-5和烟台大海阳の机架-6的数据</v>
      </c>
      <c r="I252" s="3">
        <f>INDEX([1]机架!$C:$C,C252+3)</f>
        <v>3706002122</v>
      </c>
      <c r="J252" s="3">
        <f>IF(D252&lt;&gt;"",INDEX([1]机架!$C:$C,D252+3),0)</f>
        <v>3706002123</v>
      </c>
    </row>
    <row r="253" spans="1:10" ht="16.5" x14ac:dyDescent="0.2">
      <c r="A253" s="3" t="s">
        <v>393</v>
      </c>
      <c r="B253" s="3">
        <v>250</v>
      </c>
      <c r="C253" s="3">
        <f t="shared" si="13"/>
        <v>499</v>
      </c>
      <c r="D253" s="3">
        <f t="shared" si="14"/>
        <v>500</v>
      </c>
      <c r="E253" s="3" t="str">
        <f t="shared" si="12"/>
        <v>dump:1312006073&amp;2312006073</v>
      </c>
      <c r="F253" s="3" t="str">
        <f t="shared" si="15"/>
        <v>哑资源设备_250</v>
      </c>
      <c r="G253" s="10" t="s">
        <v>406</v>
      </c>
      <c r="H253" s="3" t="str">
        <f>"检测机架"&amp;INDEX([1]机架!$D:$D,C253+3)&amp;IF(D253&lt;&gt;"","和"&amp;INDEX([1]机架!$D:$D,D253+3),"")&amp;"的数据"</f>
        <v>检测机架烟台大海阳の机架-7和烟台大海阳の机架-8的数据</v>
      </c>
      <c r="I253" s="3">
        <f>INDEX([1]机架!$C:$C,C253+3)</f>
        <v>3706002131</v>
      </c>
      <c r="J253" s="3">
        <f>IF(D253&lt;&gt;"",INDEX([1]机架!$C:$C,D253+3),0)</f>
        <v>3706002132</v>
      </c>
    </row>
    <row r="254" spans="1:10" ht="16.5" x14ac:dyDescent="0.2">
      <c r="A254" s="3" t="s">
        <v>393</v>
      </c>
      <c r="B254" s="3">
        <v>251</v>
      </c>
      <c r="C254" s="3">
        <f t="shared" si="13"/>
        <v>501</v>
      </c>
      <c r="D254" s="3">
        <f t="shared" si="14"/>
        <v>502</v>
      </c>
      <c r="E254" s="3" t="str">
        <f t="shared" si="12"/>
        <v>dump:3312006073&amp;1113006073</v>
      </c>
      <c r="F254" s="3" t="str">
        <f t="shared" si="15"/>
        <v>哑资源设备_251</v>
      </c>
      <c r="G254" s="10" t="s">
        <v>406</v>
      </c>
      <c r="H254" s="3" t="str">
        <f>"检测机架"&amp;INDEX([1]机架!$D:$D,C254+3)&amp;IF(D254&lt;&gt;"","和"&amp;INDEX([1]机架!$D:$D,D254+3),"")&amp;"的数据"</f>
        <v>检测机架烟台大海阳の机架-9和烟台开发区の机架-1的数据</v>
      </c>
      <c r="I254" s="3">
        <f>INDEX([1]机架!$C:$C,C254+3)</f>
        <v>3706002133</v>
      </c>
      <c r="J254" s="3">
        <f>IF(D254&lt;&gt;"",INDEX([1]机架!$C:$C,D254+3),0)</f>
        <v>3706003111</v>
      </c>
    </row>
    <row r="255" spans="1:10" ht="16.5" x14ac:dyDescent="0.2">
      <c r="A255" s="3" t="s">
        <v>393</v>
      </c>
      <c r="B255" s="3">
        <v>252</v>
      </c>
      <c r="C255" s="3">
        <f t="shared" si="13"/>
        <v>503</v>
      </c>
      <c r="D255" s="3">
        <f t="shared" si="14"/>
        <v>504</v>
      </c>
      <c r="E255" s="3" t="str">
        <f t="shared" si="12"/>
        <v>dump:2113006073&amp;3113006073</v>
      </c>
      <c r="F255" s="3" t="str">
        <f t="shared" si="15"/>
        <v>哑资源设备_252</v>
      </c>
      <c r="G255" s="10" t="s">
        <v>406</v>
      </c>
      <c r="H255" s="3" t="str">
        <f>"检测机架"&amp;INDEX([1]机架!$D:$D,C255+3)&amp;IF(D255&lt;&gt;"","和"&amp;INDEX([1]机架!$D:$D,D255+3),"")&amp;"的数据"</f>
        <v>检测机架烟台开发区の机架-2和烟台开发区の机架-3的数据</v>
      </c>
      <c r="I255" s="3">
        <f>INDEX([1]机架!$C:$C,C255+3)</f>
        <v>3706003112</v>
      </c>
      <c r="J255" s="3">
        <f>IF(D255&lt;&gt;"",INDEX([1]机架!$C:$C,D255+3),0)</f>
        <v>3706003113</v>
      </c>
    </row>
    <row r="256" spans="1:10" ht="16.5" x14ac:dyDescent="0.2">
      <c r="A256" s="3" t="s">
        <v>393</v>
      </c>
      <c r="B256" s="3">
        <v>253</v>
      </c>
      <c r="C256" s="3">
        <f t="shared" si="13"/>
        <v>505</v>
      </c>
      <c r="D256" s="3">
        <f t="shared" si="14"/>
        <v>506</v>
      </c>
      <c r="E256" s="3" t="str">
        <f t="shared" si="12"/>
        <v>dump:1213006073&amp;2213006073</v>
      </c>
      <c r="F256" s="3" t="str">
        <f t="shared" si="15"/>
        <v>哑资源设备_253</v>
      </c>
      <c r="G256" s="10" t="s">
        <v>406</v>
      </c>
      <c r="H256" s="3" t="str">
        <f>"检测机架"&amp;INDEX([1]机架!$D:$D,C256+3)&amp;IF(D256&lt;&gt;"","和"&amp;INDEX([1]机架!$D:$D,D256+3),"")&amp;"的数据"</f>
        <v>检测机架烟台开发区の机架-4和烟台开发区の机架-5的数据</v>
      </c>
      <c r="I256" s="3">
        <f>INDEX([1]机架!$C:$C,C256+3)</f>
        <v>3706003121</v>
      </c>
      <c r="J256" s="3">
        <f>IF(D256&lt;&gt;"",INDEX([1]机架!$C:$C,D256+3),0)</f>
        <v>3706003122</v>
      </c>
    </row>
    <row r="257" spans="1:10" ht="16.5" x14ac:dyDescent="0.2">
      <c r="A257" s="3" t="s">
        <v>393</v>
      </c>
      <c r="B257" s="3">
        <v>254</v>
      </c>
      <c r="C257" s="3">
        <f t="shared" si="13"/>
        <v>507</v>
      </c>
      <c r="D257" s="3">
        <f t="shared" si="14"/>
        <v>508</v>
      </c>
      <c r="E257" s="3" t="str">
        <f t="shared" si="12"/>
        <v>dump:3213006073&amp;1313006073</v>
      </c>
      <c r="F257" s="3" t="str">
        <f t="shared" si="15"/>
        <v>哑资源设备_254</v>
      </c>
      <c r="G257" s="10" t="s">
        <v>406</v>
      </c>
      <c r="H257" s="3" t="str">
        <f>"检测机架"&amp;INDEX([1]机架!$D:$D,C257+3)&amp;IF(D257&lt;&gt;"","和"&amp;INDEX([1]机架!$D:$D,D257+3),"")&amp;"的数据"</f>
        <v>检测机架烟台开发区の机架-6和烟台开发区の机架-7的数据</v>
      </c>
      <c r="I257" s="3">
        <f>INDEX([1]机架!$C:$C,C257+3)</f>
        <v>3706003123</v>
      </c>
      <c r="J257" s="3">
        <f>IF(D257&lt;&gt;"",INDEX([1]机架!$C:$C,D257+3),0)</f>
        <v>3706003131</v>
      </c>
    </row>
    <row r="258" spans="1:10" ht="16.5" x14ac:dyDescent="0.2">
      <c r="A258" s="3" t="s">
        <v>393</v>
      </c>
      <c r="B258" s="3">
        <v>255</v>
      </c>
      <c r="C258" s="3">
        <f t="shared" si="13"/>
        <v>509</v>
      </c>
      <c r="D258" s="3">
        <f t="shared" si="14"/>
        <v>510</v>
      </c>
      <c r="E258" s="3" t="str">
        <f t="shared" si="12"/>
        <v>dump:2313006073&amp;3313006073</v>
      </c>
      <c r="F258" s="3" t="str">
        <f t="shared" si="15"/>
        <v>哑资源设备_255</v>
      </c>
      <c r="G258" s="10" t="s">
        <v>406</v>
      </c>
      <c r="H258" s="3" t="str">
        <f>"检测机架"&amp;INDEX([1]机架!$D:$D,C258+3)&amp;IF(D258&lt;&gt;"","和"&amp;INDEX([1]机架!$D:$D,D258+3),"")&amp;"的数据"</f>
        <v>检测机架烟台开发区の机架-8和烟台开发区の机架-9的数据</v>
      </c>
      <c r="I258" s="3">
        <f>INDEX([1]机架!$C:$C,C258+3)</f>
        <v>3706003132</v>
      </c>
      <c r="J258" s="3">
        <f>IF(D258&lt;&gt;"",INDEX([1]机架!$C:$C,D258+3),0)</f>
        <v>3706003133</v>
      </c>
    </row>
    <row r="259" spans="1:10" ht="16.5" x14ac:dyDescent="0.2">
      <c r="A259" s="3" t="s">
        <v>393</v>
      </c>
      <c r="B259" s="3">
        <v>256</v>
      </c>
      <c r="C259" s="3">
        <f t="shared" si="13"/>
        <v>511</v>
      </c>
      <c r="D259" s="3">
        <f t="shared" si="14"/>
        <v>512</v>
      </c>
      <c r="E259" s="3" t="str">
        <f t="shared" si="12"/>
        <v>dump:1114006073&amp;2114006073</v>
      </c>
      <c r="F259" s="3" t="str">
        <f t="shared" si="15"/>
        <v>哑资源设备_256</v>
      </c>
      <c r="G259" s="10" t="s">
        <v>406</v>
      </c>
      <c r="H259" s="3" t="str">
        <f>"检测机架"&amp;INDEX([1]机架!$D:$D,C259+3)&amp;IF(D259&lt;&gt;"","和"&amp;INDEX([1]机架!$D:$D,D259+3),"")&amp;"的数据"</f>
        <v>检测机架芝罘区青年路の机架-1和芝罘区青年路の机架-2的数据</v>
      </c>
      <c r="I259" s="3">
        <f>INDEX([1]机架!$C:$C,C259+3)</f>
        <v>3706004111</v>
      </c>
      <c r="J259" s="3">
        <f>IF(D259&lt;&gt;"",INDEX([1]机架!$C:$C,D259+3),0)</f>
        <v>3706004112</v>
      </c>
    </row>
    <row r="260" spans="1:10" ht="16.5" x14ac:dyDescent="0.2">
      <c r="A260" s="3" t="s">
        <v>393</v>
      </c>
      <c r="B260" s="3">
        <v>257</v>
      </c>
      <c r="C260" s="3">
        <f t="shared" si="13"/>
        <v>513</v>
      </c>
      <c r="D260" s="3">
        <f t="shared" si="14"/>
        <v>514</v>
      </c>
      <c r="E260" s="3" t="str">
        <f t="shared" ref="E260:E323" si="16">"dump:"&amp;Reverse(I260)&amp;"&amp;"&amp;Reverse(J260)</f>
        <v>dump:3114006073&amp;1214006073</v>
      </c>
      <c r="F260" s="3" t="str">
        <f t="shared" si="15"/>
        <v>哑资源设备_257</v>
      </c>
      <c r="G260" s="10" t="s">
        <v>406</v>
      </c>
      <c r="H260" s="3" t="str">
        <f>"检测机架"&amp;INDEX([1]机架!$D:$D,C260+3)&amp;IF(D260&lt;&gt;"","和"&amp;INDEX([1]机架!$D:$D,D260+3),"")&amp;"的数据"</f>
        <v>检测机架芝罘区青年路の机架-3和芝罘区青年路の机架-4的数据</v>
      </c>
      <c r="I260" s="3">
        <f>INDEX([1]机架!$C:$C,C260+3)</f>
        <v>3706004113</v>
      </c>
      <c r="J260" s="3">
        <f>IF(D260&lt;&gt;"",INDEX([1]机架!$C:$C,D260+3),0)</f>
        <v>3706004121</v>
      </c>
    </row>
    <row r="261" spans="1:10" ht="16.5" x14ac:dyDescent="0.2">
      <c r="A261" s="3" t="s">
        <v>393</v>
      </c>
      <c r="B261" s="3">
        <v>258</v>
      </c>
      <c r="C261" s="3">
        <f t="shared" ref="C261:C324" si="17">MOD(B261-1,INT(($N$3+1)/2))*2+1</f>
        <v>515</v>
      </c>
      <c r="D261" s="3">
        <f t="shared" ref="D261:D324" si="18">IF(C261&lt;$N$3,MOD(B261-1,INT(($N$3+1)/2))*2+2,"")</f>
        <v>516</v>
      </c>
      <c r="E261" s="3" t="str">
        <f t="shared" si="16"/>
        <v>dump:2214006073&amp;3214006073</v>
      </c>
      <c r="F261" s="3" t="str">
        <f t="shared" ref="F261:F324" si="19">"哑资源设备_"&amp;B261</f>
        <v>哑资源设备_258</v>
      </c>
      <c r="G261" s="10" t="s">
        <v>406</v>
      </c>
      <c r="H261" s="3" t="str">
        <f>"检测机架"&amp;INDEX([1]机架!$D:$D,C261+3)&amp;IF(D261&lt;&gt;"","和"&amp;INDEX([1]机架!$D:$D,D261+3),"")&amp;"的数据"</f>
        <v>检测机架芝罘区青年路の机架-5和芝罘区青年路の机架-6的数据</v>
      </c>
      <c r="I261" s="3">
        <f>INDEX([1]机架!$C:$C,C261+3)</f>
        <v>3706004122</v>
      </c>
      <c r="J261" s="3">
        <f>IF(D261&lt;&gt;"",INDEX([1]机架!$C:$C,D261+3),0)</f>
        <v>3706004123</v>
      </c>
    </row>
    <row r="262" spans="1:10" ht="16.5" x14ac:dyDescent="0.2">
      <c r="A262" s="3" t="s">
        <v>393</v>
      </c>
      <c r="B262" s="3">
        <v>259</v>
      </c>
      <c r="C262" s="3">
        <f t="shared" si="17"/>
        <v>517</v>
      </c>
      <c r="D262" s="3">
        <f t="shared" si="18"/>
        <v>518</v>
      </c>
      <c r="E262" s="3" t="str">
        <f t="shared" si="16"/>
        <v>dump:1314006073&amp;2314006073</v>
      </c>
      <c r="F262" s="3" t="str">
        <f t="shared" si="19"/>
        <v>哑资源设备_259</v>
      </c>
      <c r="G262" s="10" t="s">
        <v>406</v>
      </c>
      <c r="H262" s="3" t="str">
        <f>"检测机架"&amp;INDEX([1]机架!$D:$D,C262+3)&amp;IF(D262&lt;&gt;"","和"&amp;INDEX([1]机架!$D:$D,D262+3),"")&amp;"的数据"</f>
        <v>检测机架芝罘区青年路の机架-7和芝罘区青年路の机架-8的数据</v>
      </c>
      <c r="I262" s="3">
        <f>INDEX([1]机架!$C:$C,C262+3)</f>
        <v>3706004131</v>
      </c>
      <c r="J262" s="3">
        <f>IF(D262&lt;&gt;"",INDEX([1]机架!$C:$C,D262+3),0)</f>
        <v>3706004132</v>
      </c>
    </row>
    <row r="263" spans="1:10" ht="16.5" x14ac:dyDescent="0.2">
      <c r="A263" s="3" t="s">
        <v>393</v>
      </c>
      <c r="B263" s="3">
        <v>260</v>
      </c>
      <c r="C263" s="3">
        <f t="shared" si="17"/>
        <v>519</v>
      </c>
      <c r="D263" s="3">
        <f t="shared" si="18"/>
        <v>520</v>
      </c>
      <c r="E263" s="3" t="str">
        <f t="shared" si="16"/>
        <v>dump:3314006073&amp;1115006073</v>
      </c>
      <c r="F263" s="3" t="str">
        <f t="shared" si="19"/>
        <v>哑资源设备_260</v>
      </c>
      <c r="G263" s="10" t="s">
        <v>406</v>
      </c>
      <c r="H263" s="3" t="str">
        <f>"检测机架"&amp;INDEX([1]机架!$D:$D,C263+3)&amp;IF(D263&lt;&gt;"","和"&amp;INDEX([1]机架!$D:$D,D263+3),"")&amp;"的数据"</f>
        <v>检测机架芝罘区青年路の机架-9和龙口龙口镇の机架-1的数据</v>
      </c>
      <c r="I263" s="3">
        <f>INDEX([1]机架!$C:$C,C263+3)</f>
        <v>3706004133</v>
      </c>
      <c r="J263" s="3">
        <f>IF(D263&lt;&gt;"",INDEX([1]机架!$C:$C,D263+3),0)</f>
        <v>3706005111</v>
      </c>
    </row>
    <row r="264" spans="1:10" ht="16.5" x14ac:dyDescent="0.2">
      <c r="A264" s="3" t="s">
        <v>393</v>
      </c>
      <c r="B264" s="3">
        <v>261</v>
      </c>
      <c r="C264" s="3">
        <f t="shared" si="17"/>
        <v>521</v>
      </c>
      <c r="D264" s="3">
        <f t="shared" si="18"/>
        <v>522</v>
      </c>
      <c r="E264" s="3" t="str">
        <f t="shared" si="16"/>
        <v>dump:2115006073&amp;3115006073</v>
      </c>
      <c r="F264" s="3" t="str">
        <f t="shared" si="19"/>
        <v>哑资源设备_261</v>
      </c>
      <c r="G264" s="10" t="s">
        <v>406</v>
      </c>
      <c r="H264" s="3" t="str">
        <f>"检测机架"&amp;INDEX([1]机架!$D:$D,C264+3)&amp;IF(D264&lt;&gt;"","和"&amp;INDEX([1]机架!$D:$D,D264+3),"")&amp;"的数据"</f>
        <v>检测机架龙口龙口镇の机架-2和龙口龙口镇の机架-3的数据</v>
      </c>
      <c r="I264" s="3">
        <f>INDEX([1]机架!$C:$C,C264+3)</f>
        <v>3706005112</v>
      </c>
      <c r="J264" s="3">
        <f>IF(D264&lt;&gt;"",INDEX([1]机架!$C:$C,D264+3),0)</f>
        <v>3706005113</v>
      </c>
    </row>
    <row r="265" spans="1:10" ht="16.5" x14ac:dyDescent="0.2">
      <c r="A265" s="3" t="s">
        <v>393</v>
      </c>
      <c r="B265" s="3">
        <v>262</v>
      </c>
      <c r="C265" s="3">
        <f t="shared" si="17"/>
        <v>523</v>
      </c>
      <c r="D265" s="3">
        <f t="shared" si="18"/>
        <v>524</v>
      </c>
      <c r="E265" s="3" t="str">
        <f t="shared" si="16"/>
        <v>dump:1215006073&amp;2215006073</v>
      </c>
      <c r="F265" s="3" t="str">
        <f t="shared" si="19"/>
        <v>哑资源设备_262</v>
      </c>
      <c r="G265" s="10" t="s">
        <v>406</v>
      </c>
      <c r="H265" s="3" t="str">
        <f>"检测机架"&amp;INDEX([1]机架!$D:$D,C265+3)&amp;IF(D265&lt;&gt;"","和"&amp;INDEX([1]机架!$D:$D,D265+3),"")&amp;"的数据"</f>
        <v>检测机架龙口龙口镇の机架-4和龙口龙口镇の机架-5的数据</v>
      </c>
      <c r="I265" s="3">
        <f>INDEX([1]机架!$C:$C,C265+3)</f>
        <v>3706005121</v>
      </c>
      <c r="J265" s="3">
        <f>IF(D265&lt;&gt;"",INDEX([1]机架!$C:$C,D265+3),0)</f>
        <v>3706005122</v>
      </c>
    </row>
    <row r="266" spans="1:10" ht="16.5" x14ac:dyDescent="0.2">
      <c r="A266" s="3" t="s">
        <v>393</v>
      </c>
      <c r="B266" s="3">
        <v>263</v>
      </c>
      <c r="C266" s="3">
        <f t="shared" si="17"/>
        <v>525</v>
      </c>
      <c r="D266" s="3">
        <f t="shared" si="18"/>
        <v>526</v>
      </c>
      <c r="E266" s="3" t="str">
        <f t="shared" si="16"/>
        <v>dump:3215006073&amp;1315006073</v>
      </c>
      <c r="F266" s="3" t="str">
        <f t="shared" si="19"/>
        <v>哑资源设备_263</v>
      </c>
      <c r="G266" s="10" t="s">
        <v>406</v>
      </c>
      <c r="H266" s="3" t="str">
        <f>"检测机架"&amp;INDEX([1]机架!$D:$D,C266+3)&amp;IF(D266&lt;&gt;"","和"&amp;INDEX([1]机架!$D:$D,D266+3),"")&amp;"的数据"</f>
        <v>检测机架龙口龙口镇の机架-6和龙口龙口镇の机架-7的数据</v>
      </c>
      <c r="I266" s="3">
        <f>INDEX([1]机架!$C:$C,C266+3)</f>
        <v>3706005123</v>
      </c>
      <c r="J266" s="3">
        <f>IF(D266&lt;&gt;"",INDEX([1]机架!$C:$C,D266+3),0)</f>
        <v>3706005131</v>
      </c>
    </row>
    <row r="267" spans="1:10" ht="16.5" x14ac:dyDescent="0.2">
      <c r="A267" s="3" t="s">
        <v>393</v>
      </c>
      <c r="B267" s="3">
        <v>264</v>
      </c>
      <c r="C267" s="3">
        <f t="shared" si="17"/>
        <v>527</v>
      </c>
      <c r="D267" s="3">
        <f t="shared" si="18"/>
        <v>528</v>
      </c>
      <c r="E267" s="3" t="str">
        <f t="shared" si="16"/>
        <v>dump:2315006073&amp;3315006073</v>
      </c>
      <c r="F267" s="3" t="str">
        <f t="shared" si="19"/>
        <v>哑资源设备_264</v>
      </c>
      <c r="G267" s="10" t="s">
        <v>406</v>
      </c>
      <c r="H267" s="3" t="str">
        <f>"检测机架"&amp;INDEX([1]机架!$D:$D,C267+3)&amp;IF(D267&lt;&gt;"","和"&amp;INDEX([1]机架!$D:$D,D267+3),"")&amp;"的数据"</f>
        <v>检测机架龙口龙口镇の机架-8和龙口龙口镇の机架-9的数据</v>
      </c>
      <c r="I267" s="3">
        <f>INDEX([1]机架!$C:$C,C267+3)</f>
        <v>3706005132</v>
      </c>
      <c r="J267" s="3">
        <f>IF(D267&lt;&gt;"",INDEX([1]机架!$C:$C,D267+3),0)</f>
        <v>3706005133</v>
      </c>
    </row>
    <row r="268" spans="1:10" ht="16.5" x14ac:dyDescent="0.2">
      <c r="A268" s="3" t="s">
        <v>393</v>
      </c>
      <c r="B268" s="3">
        <v>265</v>
      </c>
      <c r="C268" s="3">
        <f t="shared" si="17"/>
        <v>529</v>
      </c>
      <c r="D268" s="3">
        <f t="shared" si="18"/>
        <v>530</v>
      </c>
      <c r="E268" s="3" t="str">
        <f t="shared" si="16"/>
        <v>dump:1116006073&amp;2116006073</v>
      </c>
      <c r="F268" s="3" t="str">
        <f t="shared" si="19"/>
        <v>哑资源设备_265</v>
      </c>
      <c r="G268" s="10" t="s">
        <v>406</v>
      </c>
      <c r="H268" s="3" t="str">
        <f>"检测机架"&amp;INDEX([1]机架!$D:$D,C268+3)&amp;IF(D268&lt;&gt;"","和"&amp;INDEX([1]机架!$D:$D,D268+3),"")&amp;"的数据"</f>
        <v>检测机架龙口黄城の机架-1和龙口黄城の机架-2的数据</v>
      </c>
      <c r="I268" s="3">
        <f>INDEX([1]机架!$C:$C,C268+3)</f>
        <v>3706006111</v>
      </c>
      <c r="J268" s="3">
        <f>IF(D268&lt;&gt;"",INDEX([1]机架!$C:$C,D268+3),0)</f>
        <v>3706006112</v>
      </c>
    </row>
    <row r="269" spans="1:10" ht="16.5" x14ac:dyDescent="0.2">
      <c r="A269" s="3" t="s">
        <v>393</v>
      </c>
      <c r="B269" s="3">
        <v>266</v>
      </c>
      <c r="C269" s="3">
        <f t="shared" si="17"/>
        <v>531</v>
      </c>
      <c r="D269" s="3">
        <f t="shared" si="18"/>
        <v>532</v>
      </c>
      <c r="E269" s="3" t="str">
        <f t="shared" si="16"/>
        <v>dump:3116006073&amp;1216006073</v>
      </c>
      <c r="F269" s="3" t="str">
        <f t="shared" si="19"/>
        <v>哑资源设备_266</v>
      </c>
      <c r="G269" s="10" t="s">
        <v>406</v>
      </c>
      <c r="H269" s="3" t="str">
        <f>"检测机架"&amp;INDEX([1]机架!$D:$D,C269+3)&amp;IF(D269&lt;&gt;"","和"&amp;INDEX([1]机架!$D:$D,D269+3),"")&amp;"的数据"</f>
        <v>检测机架龙口黄城の机架-3和龙口黄城の机架-4的数据</v>
      </c>
      <c r="I269" s="3">
        <f>INDEX([1]机架!$C:$C,C269+3)</f>
        <v>3706006113</v>
      </c>
      <c r="J269" s="3">
        <f>IF(D269&lt;&gt;"",INDEX([1]机架!$C:$C,D269+3),0)</f>
        <v>3706006121</v>
      </c>
    </row>
    <row r="270" spans="1:10" ht="16.5" x14ac:dyDescent="0.2">
      <c r="A270" s="3" t="s">
        <v>393</v>
      </c>
      <c r="B270" s="3">
        <v>267</v>
      </c>
      <c r="C270" s="3">
        <f t="shared" si="17"/>
        <v>533</v>
      </c>
      <c r="D270" s="3">
        <f t="shared" si="18"/>
        <v>534</v>
      </c>
      <c r="E270" s="3" t="str">
        <f t="shared" si="16"/>
        <v>dump:2216006073&amp;3216006073</v>
      </c>
      <c r="F270" s="3" t="str">
        <f t="shared" si="19"/>
        <v>哑资源设备_267</v>
      </c>
      <c r="G270" s="10" t="s">
        <v>406</v>
      </c>
      <c r="H270" s="3" t="str">
        <f>"检测机架"&amp;INDEX([1]机架!$D:$D,C270+3)&amp;IF(D270&lt;&gt;"","和"&amp;INDEX([1]机架!$D:$D,D270+3),"")&amp;"的数据"</f>
        <v>检测机架龙口黄城の机架-5和龙口黄城の机架-6的数据</v>
      </c>
      <c r="I270" s="3">
        <f>INDEX([1]机架!$C:$C,C270+3)</f>
        <v>3706006122</v>
      </c>
      <c r="J270" s="3">
        <f>IF(D270&lt;&gt;"",INDEX([1]机架!$C:$C,D270+3),0)</f>
        <v>3706006123</v>
      </c>
    </row>
    <row r="271" spans="1:10" ht="16.5" x14ac:dyDescent="0.2">
      <c r="A271" s="3" t="s">
        <v>393</v>
      </c>
      <c r="B271" s="3">
        <v>268</v>
      </c>
      <c r="C271" s="3">
        <f t="shared" si="17"/>
        <v>535</v>
      </c>
      <c r="D271" s="3">
        <f t="shared" si="18"/>
        <v>536</v>
      </c>
      <c r="E271" s="3" t="str">
        <f t="shared" si="16"/>
        <v>dump:1316006073&amp;2316006073</v>
      </c>
      <c r="F271" s="3" t="str">
        <f t="shared" si="19"/>
        <v>哑资源设备_268</v>
      </c>
      <c r="G271" s="10" t="s">
        <v>406</v>
      </c>
      <c r="H271" s="3" t="str">
        <f>"检测机架"&amp;INDEX([1]机架!$D:$D,C271+3)&amp;IF(D271&lt;&gt;"","和"&amp;INDEX([1]机架!$D:$D,D271+3),"")&amp;"的数据"</f>
        <v>检测机架龙口黄城の机架-7和龙口黄城の机架-8的数据</v>
      </c>
      <c r="I271" s="3">
        <f>INDEX([1]机架!$C:$C,C271+3)</f>
        <v>3706006131</v>
      </c>
      <c r="J271" s="3">
        <f>IF(D271&lt;&gt;"",INDEX([1]机架!$C:$C,D271+3),0)</f>
        <v>3706006132</v>
      </c>
    </row>
    <row r="272" spans="1:10" ht="16.5" x14ac:dyDescent="0.2">
      <c r="A272" s="3" t="s">
        <v>393</v>
      </c>
      <c r="B272" s="3">
        <v>269</v>
      </c>
      <c r="C272" s="3">
        <f t="shared" si="17"/>
        <v>537</v>
      </c>
      <c r="D272" s="3">
        <f t="shared" si="18"/>
        <v>538</v>
      </c>
      <c r="E272" s="3" t="str">
        <f t="shared" si="16"/>
        <v>dump:3316006073&amp;1117006073</v>
      </c>
      <c r="F272" s="3" t="str">
        <f t="shared" si="19"/>
        <v>哑资源设备_269</v>
      </c>
      <c r="G272" s="10" t="s">
        <v>406</v>
      </c>
      <c r="H272" s="3" t="str">
        <f>"检测机架"&amp;INDEX([1]机架!$D:$D,C272+3)&amp;IF(D272&lt;&gt;"","和"&amp;INDEX([1]机架!$D:$D,D272+3),"")&amp;"的数据"</f>
        <v>检测机架龙口黄城の机架-9和莱山迎春大街の机架-1的数据</v>
      </c>
      <c r="I272" s="3">
        <f>INDEX([1]机架!$C:$C,C272+3)</f>
        <v>3706006133</v>
      </c>
      <c r="J272" s="3">
        <f>IF(D272&lt;&gt;"",INDEX([1]机架!$C:$C,D272+3),0)</f>
        <v>3706007111</v>
      </c>
    </row>
    <row r="273" spans="1:10" ht="16.5" x14ac:dyDescent="0.2">
      <c r="A273" s="3" t="s">
        <v>393</v>
      </c>
      <c r="B273" s="3">
        <v>270</v>
      </c>
      <c r="C273" s="3">
        <f t="shared" si="17"/>
        <v>539</v>
      </c>
      <c r="D273" s="3">
        <f t="shared" si="18"/>
        <v>540</v>
      </c>
      <c r="E273" s="3" t="str">
        <f t="shared" si="16"/>
        <v>dump:2117006073&amp;3117006073</v>
      </c>
      <c r="F273" s="3" t="str">
        <f t="shared" si="19"/>
        <v>哑资源设备_270</v>
      </c>
      <c r="G273" s="10" t="s">
        <v>406</v>
      </c>
      <c r="H273" s="3" t="str">
        <f>"检测机架"&amp;INDEX([1]机架!$D:$D,C273+3)&amp;IF(D273&lt;&gt;"","和"&amp;INDEX([1]机架!$D:$D,D273+3),"")&amp;"的数据"</f>
        <v>检测机架莱山迎春大街の机架-2和莱山迎春大街の机架-3的数据</v>
      </c>
      <c r="I273" s="3">
        <f>INDEX([1]机架!$C:$C,C273+3)</f>
        <v>3706007112</v>
      </c>
      <c r="J273" s="3">
        <f>IF(D273&lt;&gt;"",INDEX([1]机架!$C:$C,D273+3),0)</f>
        <v>3706007113</v>
      </c>
    </row>
    <row r="274" spans="1:10" ht="16.5" x14ac:dyDescent="0.2">
      <c r="A274" s="3" t="s">
        <v>393</v>
      </c>
      <c r="B274" s="3">
        <v>271</v>
      </c>
      <c r="C274" s="3">
        <f t="shared" si="17"/>
        <v>541</v>
      </c>
      <c r="D274" s="3">
        <f t="shared" si="18"/>
        <v>542</v>
      </c>
      <c r="E274" s="3" t="str">
        <f t="shared" si="16"/>
        <v>dump:1217006073&amp;2217006073</v>
      </c>
      <c r="F274" s="3" t="str">
        <f t="shared" si="19"/>
        <v>哑资源设备_271</v>
      </c>
      <c r="G274" s="10" t="s">
        <v>406</v>
      </c>
      <c r="H274" s="3" t="str">
        <f>"检测机架"&amp;INDEX([1]机架!$D:$D,C274+3)&amp;IF(D274&lt;&gt;"","和"&amp;INDEX([1]机架!$D:$D,D274+3),"")&amp;"的数据"</f>
        <v>检测机架莱山迎春大街の机架-4和莱山迎春大街の机架-5的数据</v>
      </c>
      <c r="I274" s="3">
        <f>INDEX([1]机架!$C:$C,C274+3)</f>
        <v>3706007121</v>
      </c>
      <c r="J274" s="3">
        <f>IF(D274&lt;&gt;"",INDEX([1]机架!$C:$C,D274+3),0)</f>
        <v>3706007122</v>
      </c>
    </row>
    <row r="275" spans="1:10" ht="16.5" x14ac:dyDescent="0.2">
      <c r="A275" s="3" t="s">
        <v>393</v>
      </c>
      <c r="B275" s="3">
        <v>272</v>
      </c>
      <c r="C275" s="3">
        <f t="shared" si="17"/>
        <v>543</v>
      </c>
      <c r="D275" s="3">
        <f t="shared" si="18"/>
        <v>544</v>
      </c>
      <c r="E275" s="3" t="str">
        <f t="shared" si="16"/>
        <v>dump:3217006073&amp;1317006073</v>
      </c>
      <c r="F275" s="3" t="str">
        <f t="shared" si="19"/>
        <v>哑资源设备_272</v>
      </c>
      <c r="G275" s="10" t="s">
        <v>406</v>
      </c>
      <c r="H275" s="3" t="str">
        <f>"检测机架"&amp;INDEX([1]机架!$D:$D,C275+3)&amp;IF(D275&lt;&gt;"","和"&amp;INDEX([1]机架!$D:$D,D275+3),"")&amp;"的数据"</f>
        <v>检测机架莱山迎春大街の机架-6和莱山迎春大街の机架-7的数据</v>
      </c>
      <c r="I275" s="3">
        <f>INDEX([1]机架!$C:$C,C275+3)</f>
        <v>3706007123</v>
      </c>
      <c r="J275" s="3">
        <f>IF(D275&lt;&gt;"",INDEX([1]机架!$C:$C,D275+3),0)</f>
        <v>3706007131</v>
      </c>
    </row>
    <row r="276" spans="1:10" ht="16.5" x14ac:dyDescent="0.2">
      <c r="A276" s="3" t="s">
        <v>393</v>
      </c>
      <c r="B276" s="3">
        <v>273</v>
      </c>
      <c r="C276" s="3">
        <f t="shared" si="17"/>
        <v>545</v>
      </c>
      <c r="D276" s="3">
        <f t="shared" si="18"/>
        <v>546</v>
      </c>
      <c r="E276" s="3" t="str">
        <f t="shared" si="16"/>
        <v>dump:2317006073&amp;3317006073</v>
      </c>
      <c r="F276" s="3" t="str">
        <f t="shared" si="19"/>
        <v>哑资源设备_273</v>
      </c>
      <c r="G276" s="10" t="s">
        <v>406</v>
      </c>
      <c r="H276" s="3" t="str">
        <f>"检测机架"&amp;INDEX([1]机架!$D:$D,C276+3)&amp;IF(D276&lt;&gt;"","和"&amp;INDEX([1]机架!$D:$D,D276+3),"")&amp;"的数据"</f>
        <v>检测机架莱山迎春大街の机架-8和莱山迎春大街の机架-9的数据</v>
      </c>
      <c r="I276" s="3">
        <f>INDEX([1]机架!$C:$C,C276+3)</f>
        <v>3706007132</v>
      </c>
      <c r="J276" s="3">
        <f>IF(D276&lt;&gt;"",INDEX([1]机架!$C:$C,D276+3),0)</f>
        <v>3706007133</v>
      </c>
    </row>
    <row r="277" spans="1:10" ht="16.5" x14ac:dyDescent="0.2">
      <c r="A277" s="3" t="s">
        <v>393</v>
      </c>
      <c r="B277" s="3">
        <v>274</v>
      </c>
      <c r="C277" s="3">
        <f t="shared" si="17"/>
        <v>547</v>
      </c>
      <c r="D277" s="3">
        <f t="shared" si="18"/>
        <v>548</v>
      </c>
      <c r="E277" s="3" t="str">
        <f t="shared" si="16"/>
        <v>dump:1118006073&amp;2118006073</v>
      </c>
      <c r="F277" s="3" t="str">
        <f t="shared" si="19"/>
        <v>哑资源设备_274</v>
      </c>
      <c r="G277" s="10" t="s">
        <v>406</v>
      </c>
      <c r="H277" s="3" t="str">
        <f>"检测机架"&amp;INDEX([1]机架!$D:$D,C277+3)&amp;IF(D277&lt;&gt;"","和"&amp;INDEX([1]机架!$D:$D,D277+3),"")&amp;"的数据"</f>
        <v>检测机架莱阳穴坊の机架-1和莱阳穴坊の机架-2的数据</v>
      </c>
      <c r="I277" s="3">
        <f>INDEX([1]机架!$C:$C,C277+3)</f>
        <v>3706008111</v>
      </c>
      <c r="J277" s="3">
        <f>IF(D277&lt;&gt;"",INDEX([1]机架!$C:$C,D277+3),0)</f>
        <v>3706008112</v>
      </c>
    </row>
    <row r="278" spans="1:10" ht="16.5" x14ac:dyDescent="0.2">
      <c r="A278" s="3" t="s">
        <v>393</v>
      </c>
      <c r="B278" s="3">
        <v>275</v>
      </c>
      <c r="C278" s="3">
        <f t="shared" si="17"/>
        <v>549</v>
      </c>
      <c r="D278" s="3">
        <f t="shared" si="18"/>
        <v>550</v>
      </c>
      <c r="E278" s="3" t="str">
        <f t="shared" si="16"/>
        <v>dump:3118006073&amp;1218006073</v>
      </c>
      <c r="F278" s="3" t="str">
        <f t="shared" si="19"/>
        <v>哑资源设备_275</v>
      </c>
      <c r="G278" s="10" t="s">
        <v>406</v>
      </c>
      <c r="H278" s="3" t="str">
        <f>"检测机架"&amp;INDEX([1]机架!$D:$D,C278+3)&amp;IF(D278&lt;&gt;"","和"&amp;INDEX([1]机架!$D:$D,D278+3),"")&amp;"的数据"</f>
        <v>检测机架莱阳穴坊の机架-3和莱阳穴坊の机架-4的数据</v>
      </c>
      <c r="I278" s="3">
        <f>INDEX([1]机架!$C:$C,C278+3)</f>
        <v>3706008113</v>
      </c>
      <c r="J278" s="3">
        <f>IF(D278&lt;&gt;"",INDEX([1]机架!$C:$C,D278+3),0)</f>
        <v>3706008121</v>
      </c>
    </row>
    <row r="279" spans="1:10" ht="16.5" x14ac:dyDescent="0.2">
      <c r="A279" s="3" t="s">
        <v>393</v>
      </c>
      <c r="B279" s="3">
        <v>276</v>
      </c>
      <c r="C279" s="3">
        <f t="shared" si="17"/>
        <v>551</v>
      </c>
      <c r="D279" s="3">
        <f t="shared" si="18"/>
        <v>552</v>
      </c>
      <c r="E279" s="3" t="str">
        <f t="shared" si="16"/>
        <v>dump:2218006073&amp;3218006073</v>
      </c>
      <c r="F279" s="3" t="str">
        <f t="shared" si="19"/>
        <v>哑资源设备_276</v>
      </c>
      <c r="G279" s="10" t="s">
        <v>406</v>
      </c>
      <c r="H279" s="3" t="str">
        <f>"检测机架"&amp;INDEX([1]机架!$D:$D,C279+3)&amp;IF(D279&lt;&gt;"","和"&amp;INDEX([1]机架!$D:$D,D279+3),"")&amp;"的数据"</f>
        <v>检测机架莱阳穴坊の机架-5和莱阳穴坊の机架-6的数据</v>
      </c>
      <c r="I279" s="3">
        <f>INDEX([1]机架!$C:$C,C279+3)</f>
        <v>3706008122</v>
      </c>
      <c r="J279" s="3">
        <f>IF(D279&lt;&gt;"",INDEX([1]机架!$C:$C,D279+3),0)</f>
        <v>3706008123</v>
      </c>
    </row>
    <row r="280" spans="1:10" ht="16.5" x14ac:dyDescent="0.2">
      <c r="A280" s="3" t="s">
        <v>393</v>
      </c>
      <c r="B280" s="3">
        <v>277</v>
      </c>
      <c r="C280" s="3">
        <f t="shared" si="17"/>
        <v>553</v>
      </c>
      <c r="D280" s="3">
        <f t="shared" si="18"/>
        <v>554</v>
      </c>
      <c r="E280" s="3" t="str">
        <f t="shared" si="16"/>
        <v>dump:1318006073&amp;2318006073</v>
      </c>
      <c r="F280" s="3" t="str">
        <f t="shared" si="19"/>
        <v>哑资源设备_277</v>
      </c>
      <c r="G280" s="10" t="s">
        <v>406</v>
      </c>
      <c r="H280" s="3" t="str">
        <f>"检测机架"&amp;INDEX([1]机架!$D:$D,C280+3)&amp;IF(D280&lt;&gt;"","和"&amp;INDEX([1]机架!$D:$D,D280+3),"")&amp;"的数据"</f>
        <v>检测机架莱阳穴坊の机架-7和莱阳穴坊の机架-8的数据</v>
      </c>
      <c r="I280" s="3">
        <f>INDEX([1]机架!$C:$C,C280+3)</f>
        <v>3706008131</v>
      </c>
      <c r="J280" s="3">
        <f>IF(D280&lt;&gt;"",INDEX([1]机架!$C:$C,D280+3),0)</f>
        <v>3706008132</v>
      </c>
    </row>
    <row r="281" spans="1:10" ht="16.5" x14ac:dyDescent="0.2">
      <c r="A281" s="3" t="s">
        <v>393</v>
      </c>
      <c r="B281" s="3">
        <v>278</v>
      </c>
      <c r="C281" s="3">
        <f t="shared" si="17"/>
        <v>555</v>
      </c>
      <c r="D281" s="3">
        <f t="shared" si="18"/>
        <v>556</v>
      </c>
      <c r="E281" s="3" t="str">
        <f t="shared" si="16"/>
        <v>dump:3318006073&amp;1119006073</v>
      </c>
      <c r="F281" s="3" t="str">
        <f t="shared" si="19"/>
        <v>哑资源设备_278</v>
      </c>
      <c r="G281" s="10" t="s">
        <v>406</v>
      </c>
      <c r="H281" s="3" t="str">
        <f>"检测机架"&amp;INDEX([1]机架!$D:$D,C281+3)&amp;IF(D281&lt;&gt;"","和"&amp;INDEX([1]机架!$D:$D,D281+3),"")&amp;"的数据"</f>
        <v>检测机架莱阳穴坊の机架-9和莱阳旌旗路の机架-1的数据</v>
      </c>
      <c r="I281" s="3">
        <f>INDEX([1]机架!$C:$C,C281+3)</f>
        <v>3706008133</v>
      </c>
      <c r="J281" s="3">
        <f>IF(D281&lt;&gt;"",INDEX([1]机架!$C:$C,D281+3),0)</f>
        <v>3706009111</v>
      </c>
    </row>
    <row r="282" spans="1:10" ht="16.5" x14ac:dyDescent="0.2">
      <c r="A282" s="3" t="s">
        <v>393</v>
      </c>
      <c r="B282" s="3">
        <v>279</v>
      </c>
      <c r="C282" s="3">
        <f t="shared" si="17"/>
        <v>557</v>
      </c>
      <c r="D282" s="3">
        <f t="shared" si="18"/>
        <v>558</v>
      </c>
      <c r="E282" s="3" t="str">
        <f t="shared" si="16"/>
        <v>dump:2119006073&amp;3119006073</v>
      </c>
      <c r="F282" s="3" t="str">
        <f t="shared" si="19"/>
        <v>哑资源设备_279</v>
      </c>
      <c r="G282" s="10" t="s">
        <v>406</v>
      </c>
      <c r="H282" s="3" t="str">
        <f>"检测机架"&amp;INDEX([1]机架!$D:$D,C282+3)&amp;IF(D282&lt;&gt;"","和"&amp;INDEX([1]机架!$D:$D,D282+3),"")&amp;"的数据"</f>
        <v>检测机架莱阳旌旗路の机架-2和莱阳旌旗路の机架-3的数据</v>
      </c>
      <c r="I282" s="3">
        <f>INDEX([1]机架!$C:$C,C282+3)</f>
        <v>3706009112</v>
      </c>
      <c r="J282" s="3">
        <f>IF(D282&lt;&gt;"",INDEX([1]机架!$C:$C,D282+3),0)</f>
        <v>3706009113</v>
      </c>
    </row>
    <row r="283" spans="1:10" ht="16.5" x14ac:dyDescent="0.2">
      <c r="A283" s="3" t="s">
        <v>393</v>
      </c>
      <c r="B283" s="3">
        <v>280</v>
      </c>
      <c r="C283" s="3">
        <f t="shared" si="17"/>
        <v>559</v>
      </c>
      <c r="D283" s="3">
        <f t="shared" si="18"/>
        <v>560</v>
      </c>
      <c r="E283" s="3" t="str">
        <f t="shared" si="16"/>
        <v>dump:1219006073&amp;2219006073</v>
      </c>
      <c r="F283" s="3" t="str">
        <f t="shared" si="19"/>
        <v>哑资源设备_280</v>
      </c>
      <c r="G283" s="10" t="s">
        <v>406</v>
      </c>
      <c r="H283" s="3" t="str">
        <f>"检测机架"&amp;INDEX([1]机架!$D:$D,C283+3)&amp;IF(D283&lt;&gt;"","和"&amp;INDEX([1]机架!$D:$D,D283+3),"")&amp;"的数据"</f>
        <v>检测机架莱阳旌旗路の机架-4和莱阳旌旗路の机架-5的数据</v>
      </c>
      <c r="I283" s="3">
        <f>INDEX([1]机架!$C:$C,C283+3)</f>
        <v>3706009121</v>
      </c>
      <c r="J283" s="3">
        <f>IF(D283&lt;&gt;"",INDEX([1]机架!$C:$C,D283+3),0)</f>
        <v>3706009122</v>
      </c>
    </row>
    <row r="284" spans="1:10" ht="16.5" x14ac:dyDescent="0.2">
      <c r="A284" s="3" t="s">
        <v>393</v>
      </c>
      <c r="B284" s="3">
        <v>281</v>
      </c>
      <c r="C284" s="3">
        <f t="shared" si="17"/>
        <v>561</v>
      </c>
      <c r="D284" s="3">
        <f t="shared" si="18"/>
        <v>562</v>
      </c>
      <c r="E284" s="3" t="str">
        <f t="shared" si="16"/>
        <v>dump:3219006073&amp;1319006073</v>
      </c>
      <c r="F284" s="3" t="str">
        <f t="shared" si="19"/>
        <v>哑资源设备_281</v>
      </c>
      <c r="G284" s="10" t="s">
        <v>406</v>
      </c>
      <c r="H284" s="3" t="str">
        <f>"检测机架"&amp;INDEX([1]机架!$D:$D,C284+3)&amp;IF(D284&lt;&gt;"","和"&amp;INDEX([1]机架!$D:$D,D284+3),"")&amp;"的数据"</f>
        <v>检测机架莱阳旌旗路の机架-6和莱阳旌旗路の机架-7的数据</v>
      </c>
      <c r="I284" s="3">
        <f>INDEX([1]机架!$C:$C,C284+3)</f>
        <v>3706009123</v>
      </c>
      <c r="J284" s="3">
        <f>IF(D284&lt;&gt;"",INDEX([1]机架!$C:$C,D284+3),0)</f>
        <v>3706009131</v>
      </c>
    </row>
    <row r="285" spans="1:10" ht="16.5" x14ac:dyDescent="0.2">
      <c r="A285" s="3" t="s">
        <v>393</v>
      </c>
      <c r="B285" s="3">
        <v>282</v>
      </c>
      <c r="C285" s="3">
        <f t="shared" si="17"/>
        <v>563</v>
      </c>
      <c r="D285" s="3">
        <f t="shared" si="18"/>
        <v>564</v>
      </c>
      <c r="E285" s="3" t="str">
        <f t="shared" si="16"/>
        <v>dump:2319006073&amp;3319006073</v>
      </c>
      <c r="F285" s="3" t="str">
        <f t="shared" si="19"/>
        <v>哑资源设备_282</v>
      </c>
      <c r="G285" s="10" t="s">
        <v>406</v>
      </c>
      <c r="H285" s="3" t="str">
        <f>"检测机架"&amp;INDEX([1]机架!$D:$D,C285+3)&amp;IF(D285&lt;&gt;"","和"&amp;INDEX([1]机架!$D:$D,D285+3),"")&amp;"的数据"</f>
        <v>检测机架莱阳旌旗路の机架-8和莱阳旌旗路の机架-9的数据</v>
      </c>
      <c r="I285" s="3">
        <f>INDEX([1]机架!$C:$C,C285+3)</f>
        <v>3706009132</v>
      </c>
      <c r="J285" s="3">
        <f>IF(D285&lt;&gt;"",INDEX([1]机架!$C:$C,D285+3),0)</f>
        <v>3706009133</v>
      </c>
    </row>
    <row r="286" spans="1:10" ht="16.5" x14ac:dyDescent="0.2">
      <c r="A286" s="3" t="s">
        <v>393</v>
      </c>
      <c r="B286" s="3">
        <v>283</v>
      </c>
      <c r="C286" s="3">
        <f t="shared" si="17"/>
        <v>565</v>
      </c>
      <c r="D286" s="3">
        <f t="shared" si="18"/>
        <v>566</v>
      </c>
      <c r="E286" s="3" t="str">
        <f t="shared" si="16"/>
        <v>dump:1110106073&amp;2110106073</v>
      </c>
      <c r="F286" s="3" t="str">
        <f t="shared" si="19"/>
        <v>哑资源设备_283</v>
      </c>
      <c r="G286" s="10" t="s">
        <v>406</v>
      </c>
      <c r="H286" s="3" t="str">
        <f>"检测机架"&amp;INDEX([1]机架!$D:$D,C286+3)&amp;IF(D286&lt;&gt;"","和"&amp;INDEX([1]机架!$D:$D,D286+3),"")&amp;"的数据"</f>
        <v>检测机架海阳海政路の机架-1和海阳海政路の机架-2的数据</v>
      </c>
      <c r="I286" s="3">
        <f>INDEX([1]机架!$C:$C,C286+3)</f>
        <v>3706010111</v>
      </c>
      <c r="J286" s="3">
        <f>IF(D286&lt;&gt;"",INDEX([1]机架!$C:$C,D286+3),0)</f>
        <v>3706010112</v>
      </c>
    </row>
    <row r="287" spans="1:10" ht="16.5" x14ac:dyDescent="0.2">
      <c r="A287" s="3" t="s">
        <v>393</v>
      </c>
      <c r="B287" s="3">
        <v>284</v>
      </c>
      <c r="C287" s="3">
        <f t="shared" si="17"/>
        <v>567</v>
      </c>
      <c r="D287" s="3">
        <f t="shared" si="18"/>
        <v>568</v>
      </c>
      <c r="E287" s="3" t="str">
        <f t="shared" si="16"/>
        <v>dump:3110106073&amp;1210106073</v>
      </c>
      <c r="F287" s="3" t="str">
        <f t="shared" si="19"/>
        <v>哑资源设备_284</v>
      </c>
      <c r="G287" s="10" t="s">
        <v>406</v>
      </c>
      <c r="H287" s="3" t="str">
        <f>"检测机架"&amp;INDEX([1]机架!$D:$D,C287+3)&amp;IF(D287&lt;&gt;"","和"&amp;INDEX([1]机架!$D:$D,D287+3),"")&amp;"的数据"</f>
        <v>检测机架海阳海政路の机架-3和海阳海政路の机架-4的数据</v>
      </c>
      <c r="I287" s="3">
        <f>INDEX([1]机架!$C:$C,C287+3)</f>
        <v>3706010113</v>
      </c>
      <c r="J287" s="3">
        <f>IF(D287&lt;&gt;"",INDEX([1]机架!$C:$C,D287+3),0)</f>
        <v>3706010121</v>
      </c>
    </row>
    <row r="288" spans="1:10" ht="16.5" x14ac:dyDescent="0.2">
      <c r="A288" s="3" t="s">
        <v>393</v>
      </c>
      <c r="B288" s="3">
        <v>285</v>
      </c>
      <c r="C288" s="3">
        <f t="shared" si="17"/>
        <v>569</v>
      </c>
      <c r="D288" s="3">
        <f t="shared" si="18"/>
        <v>570</v>
      </c>
      <c r="E288" s="3" t="str">
        <f t="shared" si="16"/>
        <v>dump:2210106073&amp;3210106073</v>
      </c>
      <c r="F288" s="3" t="str">
        <f t="shared" si="19"/>
        <v>哑资源设备_285</v>
      </c>
      <c r="G288" s="10" t="s">
        <v>406</v>
      </c>
      <c r="H288" s="3" t="str">
        <f>"检测机架"&amp;INDEX([1]机架!$D:$D,C288+3)&amp;IF(D288&lt;&gt;"","和"&amp;INDEX([1]机架!$D:$D,D288+3),"")&amp;"的数据"</f>
        <v>检测机架海阳海政路の机架-5和海阳海政路の机架-6的数据</v>
      </c>
      <c r="I288" s="3">
        <f>INDEX([1]机架!$C:$C,C288+3)</f>
        <v>3706010122</v>
      </c>
      <c r="J288" s="3">
        <f>IF(D288&lt;&gt;"",INDEX([1]机架!$C:$C,D288+3),0)</f>
        <v>3706010123</v>
      </c>
    </row>
    <row r="289" spans="1:10" ht="16.5" x14ac:dyDescent="0.2">
      <c r="A289" s="3" t="s">
        <v>393</v>
      </c>
      <c r="B289" s="3">
        <v>286</v>
      </c>
      <c r="C289" s="3">
        <f t="shared" si="17"/>
        <v>571</v>
      </c>
      <c r="D289" s="3">
        <f t="shared" si="18"/>
        <v>572</v>
      </c>
      <c r="E289" s="3" t="str">
        <f t="shared" si="16"/>
        <v>dump:1310106073&amp;2310106073</v>
      </c>
      <c r="F289" s="3" t="str">
        <f t="shared" si="19"/>
        <v>哑资源设备_286</v>
      </c>
      <c r="G289" s="10" t="s">
        <v>406</v>
      </c>
      <c r="H289" s="3" t="str">
        <f>"检测机架"&amp;INDEX([1]机架!$D:$D,C289+3)&amp;IF(D289&lt;&gt;"","和"&amp;INDEX([1]机架!$D:$D,D289+3),"")&amp;"的数据"</f>
        <v>检测机架海阳海政路の机架-7和海阳海政路の机架-8的数据</v>
      </c>
      <c r="I289" s="3">
        <f>INDEX([1]机架!$C:$C,C289+3)</f>
        <v>3706010131</v>
      </c>
      <c r="J289" s="3">
        <f>IF(D289&lt;&gt;"",INDEX([1]机架!$C:$C,D289+3),0)</f>
        <v>3706010132</v>
      </c>
    </row>
    <row r="290" spans="1:10" ht="16.5" x14ac:dyDescent="0.2">
      <c r="A290" s="3" t="s">
        <v>393</v>
      </c>
      <c r="B290" s="3">
        <v>287</v>
      </c>
      <c r="C290" s="3">
        <f t="shared" si="17"/>
        <v>573</v>
      </c>
      <c r="D290" s="3">
        <f t="shared" si="18"/>
        <v>574</v>
      </c>
      <c r="E290" s="3" t="str">
        <f t="shared" si="16"/>
        <v>dump:3310106073&amp;1111106073</v>
      </c>
      <c r="F290" s="3" t="str">
        <f t="shared" si="19"/>
        <v>哑资源设备_287</v>
      </c>
      <c r="G290" s="10" t="s">
        <v>406</v>
      </c>
      <c r="H290" s="3" t="str">
        <f>"检测机架"&amp;INDEX([1]机架!$D:$D,C290+3)&amp;IF(D290&lt;&gt;"","和"&amp;INDEX([1]机架!$D:$D,D290+3),"")&amp;"的数据"</f>
        <v>检测机架海阳海政路の机架-9和海阳留格庄の机架-1的数据</v>
      </c>
      <c r="I290" s="3">
        <f>INDEX([1]机架!$C:$C,C290+3)</f>
        <v>3706010133</v>
      </c>
      <c r="J290" s="3">
        <f>IF(D290&lt;&gt;"",INDEX([1]机架!$C:$C,D290+3),0)</f>
        <v>3706011111</v>
      </c>
    </row>
    <row r="291" spans="1:10" ht="16.5" x14ac:dyDescent="0.2">
      <c r="A291" s="3" t="s">
        <v>393</v>
      </c>
      <c r="B291" s="3">
        <v>288</v>
      </c>
      <c r="C291" s="3">
        <f t="shared" si="17"/>
        <v>575</v>
      </c>
      <c r="D291" s="3">
        <f t="shared" si="18"/>
        <v>576</v>
      </c>
      <c r="E291" s="3" t="str">
        <f t="shared" si="16"/>
        <v>dump:2111106073&amp;3111106073</v>
      </c>
      <c r="F291" s="3" t="str">
        <f t="shared" si="19"/>
        <v>哑资源设备_288</v>
      </c>
      <c r="G291" s="10" t="s">
        <v>406</v>
      </c>
      <c r="H291" s="3" t="str">
        <f>"检测机架"&amp;INDEX([1]机架!$D:$D,C291+3)&amp;IF(D291&lt;&gt;"","和"&amp;INDEX([1]机架!$D:$D,D291+3),"")&amp;"的数据"</f>
        <v>检测机架海阳留格庄の机架-2和海阳留格庄の机架-3的数据</v>
      </c>
      <c r="I291" s="3">
        <f>INDEX([1]机架!$C:$C,C291+3)</f>
        <v>3706011112</v>
      </c>
      <c r="J291" s="3">
        <f>IF(D291&lt;&gt;"",INDEX([1]机架!$C:$C,D291+3),0)</f>
        <v>3706011113</v>
      </c>
    </row>
    <row r="292" spans="1:10" ht="16.5" x14ac:dyDescent="0.2">
      <c r="A292" s="3" t="s">
        <v>393</v>
      </c>
      <c r="B292" s="3">
        <v>289</v>
      </c>
      <c r="C292" s="3">
        <f t="shared" si="17"/>
        <v>577</v>
      </c>
      <c r="D292" s="3">
        <f t="shared" si="18"/>
        <v>578</v>
      </c>
      <c r="E292" s="3" t="str">
        <f t="shared" si="16"/>
        <v>dump:1211106073&amp;2211106073</v>
      </c>
      <c r="F292" s="3" t="str">
        <f t="shared" si="19"/>
        <v>哑资源设备_289</v>
      </c>
      <c r="G292" s="10" t="s">
        <v>406</v>
      </c>
      <c r="H292" s="3" t="str">
        <f>"检测机架"&amp;INDEX([1]机架!$D:$D,C292+3)&amp;IF(D292&lt;&gt;"","和"&amp;INDEX([1]机架!$D:$D,D292+3),"")&amp;"的数据"</f>
        <v>检测机架海阳留格庄の机架-4和海阳留格庄の机架-5的数据</v>
      </c>
      <c r="I292" s="3">
        <f>INDEX([1]机架!$C:$C,C292+3)</f>
        <v>3706011121</v>
      </c>
      <c r="J292" s="3">
        <f>IF(D292&lt;&gt;"",INDEX([1]机架!$C:$C,D292+3),0)</f>
        <v>3706011122</v>
      </c>
    </row>
    <row r="293" spans="1:10" ht="16.5" x14ac:dyDescent="0.2">
      <c r="A293" s="3" t="s">
        <v>393</v>
      </c>
      <c r="B293" s="3">
        <v>290</v>
      </c>
      <c r="C293" s="3">
        <f t="shared" si="17"/>
        <v>579</v>
      </c>
      <c r="D293" s="3">
        <f t="shared" si="18"/>
        <v>580</v>
      </c>
      <c r="E293" s="3" t="str">
        <f t="shared" si="16"/>
        <v>dump:3211106073&amp;1311106073</v>
      </c>
      <c r="F293" s="3" t="str">
        <f t="shared" si="19"/>
        <v>哑资源设备_290</v>
      </c>
      <c r="G293" s="10" t="s">
        <v>406</v>
      </c>
      <c r="H293" s="3" t="str">
        <f>"检测机架"&amp;INDEX([1]机架!$D:$D,C293+3)&amp;IF(D293&lt;&gt;"","和"&amp;INDEX([1]机架!$D:$D,D293+3),"")&amp;"的数据"</f>
        <v>检测机架海阳留格庄の机架-6和海阳留格庄の机架-7的数据</v>
      </c>
      <c r="I293" s="3">
        <f>INDEX([1]机架!$C:$C,C293+3)</f>
        <v>3706011123</v>
      </c>
      <c r="J293" s="3">
        <f>IF(D293&lt;&gt;"",INDEX([1]机架!$C:$C,D293+3),0)</f>
        <v>3706011131</v>
      </c>
    </row>
    <row r="294" spans="1:10" ht="16.5" x14ac:dyDescent="0.2">
      <c r="A294" s="3" t="s">
        <v>393</v>
      </c>
      <c r="B294" s="3">
        <v>291</v>
      </c>
      <c r="C294" s="3">
        <f t="shared" si="17"/>
        <v>581</v>
      </c>
      <c r="D294" s="3">
        <f t="shared" si="18"/>
        <v>582</v>
      </c>
      <c r="E294" s="3" t="str">
        <f t="shared" si="16"/>
        <v>dump:2311106073&amp;3311106073</v>
      </c>
      <c r="F294" s="3" t="str">
        <f t="shared" si="19"/>
        <v>哑资源设备_291</v>
      </c>
      <c r="G294" s="10" t="s">
        <v>406</v>
      </c>
      <c r="H294" s="3" t="str">
        <f>"检测机架"&amp;INDEX([1]机架!$D:$D,C294+3)&amp;IF(D294&lt;&gt;"","和"&amp;INDEX([1]机架!$D:$D,D294+3),"")&amp;"的数据"</f>
        <v>检测机架海阳留格庄の机架-8和海阳留格庄の机架-9的数据</v>
      </c>
      <c r="I294" s="3">
        <f>INDEX([1]机架!$C:$C,C294+3)</f>
        <v>3706011132</v>
      </c>
      <c r="J294" s="3">
        <f>IF(D294&lt;&gt;"",INDEX([1]机架!$C:$C,D294+3),0)</f>
        <v>3706011133</v>
      </c>
    </row>
    <row r="295" spans="1:10" ht="16.5" x14ac:dyDescent="0.2">
      <c r="A295" s="3" t="s">
        <v>393</v>
      </c>
      <c r="B295" s="3">
        <v>292</v>
      </c>
      <c r="C295" s="3">
        <f t="shared" si="17"/>
        <v>583</v>
      </c>
      <c r="D295" s="3">
        <f t="shared" si="18"/>
        <v>584</v>
      </c>
      <c r="E295" s="3" t="str">
        <f t="shared" si="16"/>
        <v>dump:1112106073&amp;2112106073</v>
      </c>
      <c r="F295" s="3" t="str">
        <f t="shared" si="19"/>
        <v>哑资源设备_292</v>
      </c>
      <c r="G295" s="10" t="s">
        <v>406</v>
      </c>
      <c r="H295" s="3" t="str">
        <f>"检测机架"&amp;INDEX([1]机架!$D:$D,C295+3)&amp;IF(D295&lt;&gt;"","和"&amp;INDEX([1]机架!$D:$D,D295+3),"")&amp;"的数据"</f>
        <v>检测机架栖霞市局の机架-1和栖霞市局の机架-2的数据</v>
      </c>
      <c r="I295" s="3">
        <f>INDEX([1]机架!$C:$C,C295+3)</f>
        <v>3706012111</v>
      </c>
      <c r="J295" s="3">
        <f>IF(D295&lt;&gt;"",INDEX([1]机架!$C:$C,D295+3),0)</f>
        <v>3706012112</v>
      </c>
    </row>
    <row r="296" spans="1:10" ht="16.5" x14ac:dyDescent="0.2">
      <c r="A296" s="3" t="s">
        <v>393</v>
      </c>
      <c r="B296" s="3">
        <v>293</v>
      </c>
      <c r="C296" s="3">
        <f t="shared" si="17"/>
        <v>585</v>
      </c>
      <c r="D296" s="3">
        <f t="shared" si="18"/>
        <v>586</v>
      </c>
      <c r="E296" s="3" t="str">
        <f t="shared" si="16"/>
        <v>dump:3112106073&amp;1212106073</v>
      </c>
      <c r="F296" s="3" t="str">
        <f t="shared" si="19"/>
        <v>哑资源设备_293</v>
      </c>
      <c r="G296" s="10" t="s">
        <v>406</v>
      </c>
      <c r="H296" s="3" t="str">
        <f>"检测机架"&amp;INDEX([1]机架!$D:$D,C296+3)&amp;IF(D296&lt;&gt;"","和"&amp;INDEX([1]机架!$D:$D,D296+3),"")&amp;"的数据"</f>
        <v>检测机架栖霞市局の机架-3和栖霞市局の机架-4的数据</v>
      </c>
      <c r="I296" s="3">
        <f>INDEX([1]机架!$C:$C,C296+3)</f>
        <v>3706012113</v>
      </c>
      <c r="J296" s="3">
        <f>IF(D296&lt;&gt;"",INDEX([1]机架!$C:$C,D296+3),0)</f>
        <v>3706012121</v>
      </c>
    </row>
    <row r="297" spans="1:10" ht="16.5" x14ac:dyDescent="0.2">
      <c r="A297" s="3" t="s">
        <v>393</v>
      </c>
      <c r="B297" s="3">
        <v>294</v>
      </c>
      <c r="C297" s="3">
        <f t="shared" si="17"/>
        <v>587</v>
      </c>
      <c r="D297" s="3">
        <f t="shared" si="18"/>
        <v>588</v>
      </c>
      <c r="E297" s="3" t="str">
        <f t="shared" si="16"/>
        <v>dump:2212106073&amp;3212106073</v>
      </c>
      <c r="F297" s="3" t="str">
        <f t="shared" si="19"/>
        <v>哑资源设备_294</v>
      </c>
      <c r="G297" s="10" t="s">
        <v>406</v>
      </c>
      <c r="H297" s="3" t="str">
        <f>"检测机架"&amp;INDEX([1]机架!$D:$D,C297+3)&amp;IF(D297&lt;&gt;"","和"&amp;INDEX([1]机架!$D:$D,D297+3),"")&amp;"的数据"</f>
        <v>检测机架栖霞市局の机架-5和栖霞市局の机架-6的数据</v>
      </c>
      <c r="I297" s="3">
        <f>INDEX([1]机架!$C:$C,C297+3)</f>
        <v>3706012122</v>
      </c>
      <c r="J297" s="3">
        <f>IF(D297&lt;&gt;"",INDEX([1]机架!$C:$C,D297+3),0)</f>
        <v>3706012123</v>
      </c>
    </row>
    <row r="298" spans="1:10" ht="16.5" x14ac:dyDescent="0.2">
      <c r="A298" s="3" t="s">
        <v>393</v>
      </c>
      <c r="B298" s="3">
        <v>295</v>
      </c>
      <c r="C298" s="3">
        <f t="shared" si="17"/>
        <v>589</v>
      </c>
      <c r="D298" s="3">
        <f t="shared" si="18"/>
        <v>590</v>
      </c>
      <c r="E298" s="3" t="str">
        <f t="shared" si="16"/>
        <v>dump:1312106073&amp;2312106073</v>
      </c>
      <c r="F298" s="3" t="str">
        <f t="shared" si="19"/>
        <v>哑资源设备_295</v>
      </c>
      <c r="G298" s="10" t="s">
        <v>406</v>
      </c>
      <c r="H298" s="3" t="str">
        <f>"检测机架"&amp;INDEX([1]机架!$D:$D,C298+3)&amp;IF(D298&lt;&gt;"","和"&amp;INDEX([1]机架!$D:$D,D298+3),"")&amp;"的数据"</f>
        <v>检测机架栖霞市局の机架-7和栖霞市局の机架-8的数据</v>
      </c>
      <c r="I298" s="3">
        <f>INDEX([1]机架!$C:$C,C298+3)</f>
        <v>3706012131</v>
      </c>
      <c r="J298" s="3">
        <f>IF(D298&lt;&gt;"",INDEX([1]机架!$C:$C,D298+3),0)</f>
        <v>3706012132</v>
      </c>
    </row>
    <row r="299" spans="1:10" ht="16.5" x14ac:dyDescent="0.2">
      <c r="A299" s="3" t="s">
        <v>393</v>
      </c>
      <c r="B299" s="3">
        <v>296</v>
      </c>
      <c r="C299" s="3">
        <f t="shared" si="17"/>
        <v>591</v>
      </c>
      <c r="D299" s="3">
        <f t="shared" si="18"/>
        <v>592</v>
      </c>
      <c r="E299" s="3" t="str">
        <f t="shared" si="16"/>
        <v>dump:3312106073&amp;1113106073</v>
      </c>
      <c r="F299" s="3" t="str">
        <f t="shared" si="19"/>
        <v>哑资源设备_296</v>
      </c>
      <c r="G299" s="10" t="s">
        <v>406</v>
      </c>
      <c r="H299" s="3" t="str">
        <f>"检测机架"&amp;INDEX([1]机架!$D:$D,C299+3)&amp;IF(D299&lt;&gt;"","和"&amp;INDEX([1]机架!$D:$D,D299+3),"")&amp;"的数据"</f>
        <v>检测机架栖霞市局の机架-9和栖霞桃村の机架-1的数据</v>
      </c>
      <c r="I299" s="3">
        <f>INDEX([1]机架!$C:$C,C299+3)</f>
        <v>3706012133</v>
      </c>
      <c r="J299" s="3">
        <f>IF(D299&lt;&gt;"",INDEX([1]机架!$C:$C,D299+3),0)</f>
        <v>3706013111</v>
      </c>
    </row>
    <row r="300" spans="1:10" ht="16.5" x14ac:dyDescent="0.2">
      <c r="A300" s="3" t="s">
        <v>393</v>
      </c>
      <c r="B300" s="3">
        <v>297</v>
      </c>
      <c r="C300" s="3">
        <f t="shared" si="17"/>
        <v>593</v>
      </c>
      <c r="D300" s="3">
        <f t="shared" si="18"/>
        <v>594</v>
      </c>
      <c r="E300" s="3" t="str">
        <f t="shared" si="16"/>
        <v>dump:2113106073&amp;3113106073</v>
      </c>
      <c r="F300" s="3" t="str">
        <f t="shared" si="19"/>
        <v>哑资源设备_297</v>
      </c>
      <c r="G300" s="10" t="s">
        <v>406</v>
      </c>
      <c r="H300" s="3" t="str">
        <f>"检测机架"&amp;INDEX([1]机架!$D:$D,C300+3)&amp;IF(D300&lt;&gt;"","和"&amp;INDEX([1]机架!$D:$D,D300+3),"")&amp;"的数据"</f>
        <v>检测机架栖霞桃村の机架-2和栖霞桃村の机架-3的数据</v>
      </c>
      <c r="I300" s="3">
        <f>INDEX([1]机架!$C:$C,C300+3)</f>
        <v>3706013112</v>
      </c>
      <c r="J300" s="3">
        <f>IF(D300&lt;&gt;"",INDEX([1]机架!$C:$C,D300+3),0)</f>
        <v>3706013113</v>
      </c>
    </row>
    <row r="301" spans="1:10" ht="16.5" x14ac:dyDescent="0.2">
      <c r="A301" s="3" t="s">
        <v>393</v>
      </c>
      <c r="B301" s="3">
        <v>298</v>
      </c>
      <c r="C301" s="3">
        <f t="shared" si="17"/>
        <v>595</v>
      </c>
      <c r="D301" s="3">
        <f t="shared" si="18"/>
        <v>596</v>
      </c>
      <c r="E301" s="3" t="str">
        <f t="shared" si="16"/>
        <v>dump:1213106073&amp;2213106073</v>
      </c>
      <c r="F301" s="3" t="str">
        <f t="shared" si="19"/>
        <v>哑资源设备_298</v>
      </c>
      <c r="G301" s="10" t="s">
        <v>406</v>
      </c>
      <c r="H301" s="3" t="str">
        <f>"检测机架"&amp;INDEX([1]机架!$D:$D,C301+3)&amp;IF(D301&lt;&gt;"","和"&amp;INDEX([1]机架!$D:$D,D301+3),"")&amp;"的数据"</f>
        <v>检测机架栖霞桃村の机架-4和栖霞桃村の机架-5的数据</v>
      </c>
      <c r="I301" s="3">
        <f>INDEX([1]机架!$C:$C,C301+3)</f>
        <v>3706013121</v>
      </c>
      <c r="J301" s="3">
        <f>IF(D301&lt;&gt;"",INDEX([1]机架!$C:$C,D301+3),0)</f>
        <v>3706013122</v>
      </c>
    </row>
    <row r="302" spans="1:10" ht="16.5" x14ac:dyDescent="0.2">
      <c r="A302" s="3" t="s">
        <v>393</v>
      </c>
      <c r="B302" s="3">
        <v>299</v>
      </c>
      <c r="C302" s="3">
        <f t="shared" si="17"/>
        <v>597</v>
      </c>
      <c r="D302" s="3">
        <f t="shared" si="18"/>
        <v>598</v>
      </c>
      <c r="E302" s="3" t="str">
        <f t="shared" si="16"/>
        <v>dump:3213106073&amp;1313106073</v>
      </c>
      <c r="F302" s="3" t="str">
        <f t="shared" si="19"/>
        <v>哑资源设备_299</v>
      </c>
      <c r="G302" s="10" t="s">
        <v>406</v>
      </c>
      <c r="H302" s="3" t="str">
        <f>"检测机架"&amp;INDEX([1]机架!$D:$D,C302+3)&amp;IF(D302&lt;&gt;"","和"&amp;INDEX([1]机架!$D:$D,D302+3),"")&amp;"的数据"</f>
        <v>检测机架栖霞桃村の机架-6和栖霞桃村の机架-7的数据</v>
      </c>
      <c r="I302" s="3">
        <f>INDEX([1]机架!$C:$C,C302+3)</f>
        <v>3706013123</v>
      </c>
      <c r="J302" s="3">
        <f>IF(D302&lt;&gt;"",INDEX([1]机架!$C:$C,D302+3),0)</f>
        <v>3706013131</v>
      </c>
    </row>
    <row r="303" spans="1:10" ht="16.5" x14ac:dyDescent="0.2">
      <c r="A303" s="3" t="s">
        <v>393</v>
      </c>
      <c r="B303" s="3">
        <v>300</v>
      </c>
      <c r="C303" s="3">
        <f t="shared" si="17"/>
        <v>599</v>
      </c>
      <c r="D303" s="3">
        <f t="shared" si="18"/>
        <v>600</v>
      </c>
      <c r="E303" s="3" t="str">
        <f t="shared" si="16"/>
        <v>dump:2313106073&amp;3313106073</v>
      </c>
      <c r="F303" s="3" t="str">
        <f t="shared" si="19"/>
        <v>哑资源设备_300</v>
      </c>
      <c r="G303" s="10" t="s">
        <v>406</v>
      </c>
      <c r="H303" s="3" t="str">
        <f>"检测机架"&amp;INDEX([1]机架!$D:$D,C303+3)&amp;IF(D303&lt;&gt;"","和"&amp;INDEX([1]机架!$D:$D,D303+3),"")&amp;"的数据"</f>
        <v>检测机架栖霞桃村の机架-8和栖霞桃村の机架-9的数据</v>
      </c>
      <c r="I303" s="3">
        <f>INDEX([1]机架!$C:$C,C303+3)</f>
        <v>3706013132</v>
      </c>
      <c r="J303" s="3">
        <f>IF(D303&lt;&gt;"",INDEX([1]机架!$C:$C,D303+3),0)</f>
        <v>3706013133</v>
      </c>
    </row>
    <row r="304" spans="1:10" ht="16.5" x14ac:dyDescent="0.2">
      <c r="A304" s="3" t="s">
        <v>393</v>
      </c>
      <c r="B304" s="3">
        <v>301</v>
      </c>
      <c r="C304" s="3">
        <f t="shared" si="17"/>
        <v>601</v>
      </c>
      <c r="D304" s="3">
        <f t="shared" si="18"/>
        <v>602</v>
      </c>
      <c r="E304" s="3" t="str">
        <f t="shared" si="16"/>
        <v>dump:1114106073&amp;2114106073</v>
      </c>
      <c r="F304" s="3" t="str">
        <f t="shared" si="19"/>
        <v>哑资源设备_301</v>
      </c>
      <c r="G304" s="10" t="s">
        <v>406</v>
      </c>
      <c r="H304" s="3" t="str">
        <f>"检测机架"&amp;INDEX([1]机架!$D:$D,C304+3)&amp;IF(D304&lt;&gt;"","和"&amp;INDEX([1]机架!$D:$D,D304+3),"")&amp;"的数据"</f>
        <v>检测机架莱州平里店の机架-1和莱州平里店の机架-2的数据</v>
      </c>
      <c r="I304" s="3">
        <f>INDEX([1]机架!$C:$C,C304+3)</f>
        <v>3706014111</v>
      </c>
      <c r="J304" s="3">
        <f>IF(D304&lt;&gt;"",INDEX([1]机架!$C:$C,D304+3),0)</f>
        <v>3706014112</v>
      </c>
    </row>
    <row r="305" spans="1:10" ht="16.5" x14ac:dyDescent="0.2">
      <c r="A305" s="3" t="s">
        <v>393</v>
      </c>
      <c r="B305" s="3">
        <v>302</v>
      </c>
      <c r="C305" s="3">
        <f t="shared" si="17"/>
        <v>603</v>
      </c>
      <c r="D305" s="3">
        <f t="shared" si="18"/>
        <v>604</v>
      </c>
      <c r="E305" s="3" t="str">
        <f t="shared" si="16"/>
        <v>dump:3114106073&amp;1214106073</v>
      </c>
      <c r="F305" s="3" t="str">
        <f t="shared" si="19"/>
        <v>哑资源设备_302</v>
      </c>
      <c r="G305" s="10" t="s">
        <v>406</v>
      </c>
      <c r="H305" s="3" t="str">
        <f>"检测机架"&amp;INDEX([1]机架!$D:$D,C305+3)&amp;IF(D305&lt;&gt;"","和"&amp;INDEX([1]机架!$D:$D,D305+3),"")&amp;"的数据"</f>
        <v>检测机架莱州平里店の机架-3和莱州平里店の机架-4的数据</v>
      </c>
      <c r="I305" s="3">
        <f>INDEX([1]机架!$C:$C,C305+3)</f>
        <v>3706014113</v>
      </c>
      <c r="J305" s="3">
        <f>IF(D305&lt;&gt;"",INDEX([1]机架!$C:$C,D305+3),0)</f>
        <v>3706014121</v>
      </c>
    </row>
    <row r="306" spans="1:10" ht="16.5" x14ac:dyDescent="0.2">
      <c r="A306" s="3" t="s">
        <v>393</v>
      </c>
      <c r="B306" s="3">
        <v>303</v>
      </c>
      <c r="C306" s="3">
        <f t="shared" si="17"/>
        <v>605</v>
      </c>
      <c r="D306" s="3">
        <f t="shared" si="18"/>
        <v>606</v>
      </c>
      <c r="E306" s="3" t="str">
        <f t="shared" si="16"/>
        <v>dump:2214106073&amp;3214106073</v>
      </c>
      <c r="F306" s="3" t="str">
        <f t="shared" si="19"/>
        <v>哑资源设备_303</v>
      </c>
      <c r="G306" s="10" t="s">
        <v>406</v>
      </c>
      <c r="H306" s="3" t="str">
        <f>"检测机架"&amp;INDEX([1]机架!$D:$D,C306+3)&amp;IF(D306&lt;&gt;"","和"&amp;INDEX([1]机架!$D:$D,D306+3),"")&amp;"的数据"</f>
        <v>检测机架莱州平里店の机架-5和莱州平里店の机架-6的数据</v>
      </c>
      <c r="I306" s="3">
        <f>INDEX([1]机架!$C:$C,C306+3)</f>
        <v>3706014122</v>
      </c>
      <c r="J306" s="3">
        <f>IF(D306&lt;&gt;"",INDEX([1]机架!$C:$C,D306+3),0)</f>
        <v>3706014123</v>
      </c>
    </row>
    <row r="307" spans="1:10" ht="16.5" x14ac:dyDescent="0.2">
      <c r="A307" s="3" t="s">
        <v>393</v>
      </c>
      <c r="B307" s="3">
        <v>304</v>
      </c>
      <c r="C307" s="3">
        <f t="shared" si="17"/>
        <v>607</v>
      </c>
      <c r="D307" s="3">
        <f t="shared" si="18"/>
        <v>608</v>
      </c>
      <c r="E307" s="3" t="str">
        <f t="shared" si="16"/>
        <v>dump:1314106073&amp;2314106073</v>
      </c>
      <c r="F307" s="3" t="str">
        <f t="shared" si="19"/>
        <v>哑资源设备_304</v>
      </c>
      <c r="G307" s="10" t="s">
        <v>406</v>
      </c>
      <c r="H307" s="3" t="str">
        <f>"检测机架"&amp;INDEX([1]机架!$D:$D,C307+3)&amp;IF(D307&lt;&gt;"","和"&amp;INDEX([1]机架!$D:$D,D307+3),"")&amp;"的数据"</f>
        <v>检测机架莱州平里店の机架-7和莱州平里店の机架-8的数据</v>
      </c>
      <c r="I307" s="3">
        <f>INDEX([1]机架!$C:$C,C307+3)</f>
        <v>3706014131</v>
      </c>
      <c r="J307" s="3">
        <f>IF(D307&lt;&gt;"",INDEX([1]机架!$C:$C,D307+3),0)</f>
        <v>3706014132</v>
      </c>
    </row>
    <row r="308" spans="1:10" ht="16.5" x14ac:dyDescent="0.2">
      <c r="A308" s="3" t="s">
        <v>393</v>
      </c>
      <c r="B308" s="3">
        <v>305</v>
      </c>
      <c r="C308" s="3">
        <f t="shared" si="17"/>
        <v>609</v>
      </c>
      <c r="D308" s="3">
        <f t="shared" si="18"/>
        <v>610</v>
      </c>
      <c r="E308" s="3" t="str">
        <f t="shared" si="16"/>
        <v>dump:3314106073&amp;1115106073</v>
      </c>
      <c r="F308" s="3" t="str">
        <f t="shared" si="19"/>
        <v>哑资源设备_305</v>
      </c>
      <c r="G308" s="10" t="s">
        <v>406</v>
      </c>
      <c r="H308" s="3" t="str">
        <f>"检测机架"&amp;INDEX([1]机架!$D:$D,C308+3)&amp;IF(D308&lt;&gt;"","和"&amp;INDEX([1]机架!$D:$D,D308+3),"")&amp;"的数据"</f>
        <v>检测机架莱州平里店の机架-9和莱州沙河の机架-1的数据</v>
      </c>
      <c r="I308" s="3">
        <f>INDEX([1]机架!$C:$C,C308+3)</f>
        <v>3706014133</v>
      </c>
      <c r="J308" s="3">
        <f>IF(D308&lt;&gt;"",INDEX([1]机架!$C:$C,D308+3),0)</f>
        <v>3706015111</v>
      </c>
    </row>
    <row r="309" spans="1:10" ht="16.5" x14ac:dyDescent="0.2">
      <c r="A309" s="3" t="s">
        <v>393</v>
      </c>
      <c r="B309" s="3">
        <v>306</v>
      </c>
      <c r="C309" s="3">
        <f t="shared" si="17"/>
        <v>611</v>
      </c>
      <c r="D309" s="3">
        <f t="shared" si="18"/>
        <v>612</v>
      </c>
      <c r="E309" s="3" t="str">
        <f t="shared" si="16"/>
        <v>dump:2115106073&amp;3115106073</v>
      </c>
      <c r="F309" s="3" t="str">
        <f t="shared" si="19"/>
        <v>哑资源设备_306</v>
      </c>
      <c r="G309" s="10" t="s">
        <v>406</v>
      </c>
      <c r="H309" s="3" t="str">
        <f>"检测机架"&amp;INDEX([1]机架!$D:$D,C309+3)&amp;IF(D309&lt;&gt;"","和"&amp;INDEX([1]机架!$D:$D,D309+3),"")&amp;"的数据"</f>
        <v>检测机架莱州沙河の机架-2和莱州沙河の机架-3的数据</v>
      </c>
      <c r="I309" s="3">
        <f>INDEX([1]机架!$C:$C,C309+3)</f>
        <v>3706015112</v>
      </c>
      <c r="J309" s="3">
        <f>IF(D309&lt;&gt;"",INDEX([1]机架!$C:$C,D309+3),0)</f>
        <v>3706015113</v>
      </c>
    </row>
    <row r="310" spans="1:10" ht="16.5" x14ac:dyDescent="0.2">
      <c r="A310" s="3" t="s">
        <v>393</v>
      </c>
      <c r="B310" s="3">
        <v>307</v>
      </c>
      <c r="C310" s="3">
        <f t="shared" si="17"/>
        <v>613</v>
      </c>
      <c r="D310" s="3">
        <f t="shared" si="18"/>
        <v>614</v>
      </c>
      <c r="E310" s="3" t="str">
        <f t="shared" si="16"/>
        <v>dump:1215106073&amp;2215106073</v>
      </c>
      <c r="F310" s="3" t="str">
        <f t="shared" si="19"/>
        <v>哑资源设备_307</v>
      </c>
      <c r="G310" s="10" t="s">
        <v>406</v>
      </c>
      <c r="H310" s="3" t="str">
        <f>"检测机架"&amp;INDEX([1]机架!$D:$D,C310+3)&amp;IF(D310&lt;&gt;"","和"&amp;INDEX([1]机架!$D:$D,D310+3),"")&amp;"的数据"</f>
        <v>检测机架莱州沙河の机架-4和莱州沙河の机架-5的数据</v>
      </c>
      <c r="I310" s="3">
        <f>INDEX([1]机架!$C:$C,C310+3)</f>
        <v>3706015121</v>
      </c>
      <c r="J310" s="3">
        <f>IF(D310&lt;&gt;"",INDEX([1]机架!$C:$C,D310+3),0)</f>
        <v>3706015122</v>
      </c>
    </row>
    <row r="311" spans="1:10" ht="16.5" x14ac:dyDescent="0.2">
      <c r="A311" s="3" t="s">
        <v>393</v>
      </c>
      <c r="B311" s="3">
        <v>308</v>
      </c>
      <c r="C311" s="3">
        <f t="shared" si="17"/>
        <v>615</v>
      </c>
      <c r="D311" s="3">
        <f t="shared" si="18"/>
        <v>616</v>
      </c>
      <c r="E311" s="3" t="str">
        <f t="shared" si="16"/>
        <v>dump:3215106073&amp;1315106073</v>
      </c>
      <c r="F311" s="3" t="str">
        <f t="shared" si="19"/>
        <v>哑资源设备_308</v>
      </c>
      <c r="G311" s="10" t="s">
        <v>406</v>
      </c>
      <c r="H311" s="3" t="str">
        <f>"检测机架"&amp;INDEX([1]机架!$D:$D,C311+3)&amp;IF(D311&lt;&gt;"","和"&amp;INDEX([1]机架!$D:$D,D311+3),"")&amp;"的数据"</f>
        <v>检测机架莱州沙河の机架-6和莱州沙河の机架-7的数据</v>
      </c>
      <c r="I311" s="3">
        <f>INDEX([1]机架!$C:$C,C311+3)</f>
        <v>3706015123</v>
      </c>
      <c r="J311" s="3">
        <f>IF(D311&lt;&gt;"",INDEX([1]机架!$C:$C,D311+3),0)</f>
        <v>3706015131</v>
      </c>
    </row>
    <row r="312" spans="1:10" ht="16.5" x14ac:dyDescent="0.2">
      <c r="A312" s="3" t="s">
        <v>393</v>
      </c>
      <c r="B312" s="3">
        <v>309</v>
      </c>
      <c r="C312" s="3">
        <f t="shared" si="17"/>
        <v>617</v>
      </c>
      <c r="D312" s="3">
        <f t="shared" si="18"/>
        <v>618</v>
      </c>
      <c r="E312" s="3" t="str">
        <f t="shared" si="16"/>
        <v>dump:2315106073&amp;3315106073</v>
      </c>
      <c r="F312" s="3" t="str">
        <f t="shared" si="19"/>
        <v>哑资源设备_309</v>
      </c>
      <c r="G312" s="10" t="s">
        <v>406</v>
      </c>
      <c r="H312" s="3" t="str">
        <f>"检测机架"&amp;INDEX([1]机架!$D:$D,C312+3)&amp;IF(D312&lt;&gt;"","和"&amp;INDEX([1]机架!$D:$D,D312+3),"")&amp;"的数据"</f>
        <v>检测机架莱州沙河の机架-8和莱州沙河の机架-9的数据</v>
      </c>
      <c r="I312" s="3">
        <f>INDEX([1]机架!$C:$C,C312+3)</f>
        <v>3706015132</v>
      </c>
      <c r="J312" s="3">
        <f>IF(D312&lt;&gt;"",INDEX([1]机架!$C:$C,D312+3),0)</f>
        <v>3706015133</v>
      </c>
    </row>
    <row r="313" spans="1:10" ht="16.5" x14ac:dyDescent="0.2">
      <c r="A313" s="3" t="s">
        <v>393</v>
      </c>
      <c r="B313" s="3">
        <v>310</v>
      </c>
      <c r="C313" s="3">
        <f t="shared" si="17"/>
        <v>619</v>
      </c>
      <c r="D313" s="3">
        <f t="shared" si="18"/>
        <v>620</v>
      </c>
      <c r="E313" s="3" t="str">
        <f t="shared" si="16"/>
        <v>dump:1116106073&amp;2116106073</v>
      </c>
      <c r="F313" s="3" t="str">
        <f t="shared" si="19"/>
        <v>哑资源设备_310</v>
      </c>
      <c r="G313" s="10" t="s">
        <v>406</v>
      </c>
      <c r="H313" s="3" t="str">
        <f>"检测机架"&amp;INDEX([1]机架!$D:$D,C313+3)&amp;IF(D313&lt;&gt;"","和"&amp;INDEX([1]机架!$D:$D,D313+3),"")&amp;"的数据"</f>
        <v>检测机架莱州市局の机架-1和莱州市局の机架-2的数据</v>
      </c>
      <c r="I313" s="3">
        <f>INDEX([1]机架!$C:$C,C313+3)</f>
        <v>3706016111</v>
      </c>
      <c r="J313" s="3">
        <f>IF(D313&lt;&gt;"",INDEX([1]机架!$C:$C,D313+3),0)</f>
        <v>3706016112</v>
      </c>
    </row>
    <row r="314" spans="1:10" ht="16.5" x14ac:dyDescent="0.2">
      <c r="A314" s="3" t="s">
        <v>393</v>
      </c>
      <c r="B314" s="3">
        <v>311</v>
      </c>
      <c r="C314" s="3">
        <f t="shared" si="17"/>
        <v>621</v>
      </c>
      <c r="D314" s="3">
        <f t="shared" si="18"/>
        <v>622</v>
      </c>
      <c r="E314" s="3" t="str">
        <f t="shared" si="16"/>
        <v>dump:3116106073&amp;1216106073</v>
      </c>
      <c r="F314" s="3" t="str">
        <f t="shared" si="19"/>
        <v>哑资源设备_311</v>
      </c>
      <c r="G314" s="10" t="s">
        <v>406</v>
      </c>
      <c r="H314" s="3" t="str">
        <f>"检测机架"&amp;INDEX([1]机架!$D:$D,C314+3)&amp;IF(D314&lt;&gt;"","和"&amp;INDEX([1]机架!$D:$D,D314+3),"")&amp;"的数据"</f>
        <v>检测机架莱州市局の机架-3和莱州市局の机架-4的数据</v>
      </c>
      <c r="I314" s="3">
        <f>INDEX([1]机架!$C:$C,C314+3)</f>
        <v>3706016113</v>
      </c>
      <c r="J314" s="3">
        <f>IF(D314&lt;&gt;"",INDEX([1]机架!$C:$C,D314+3),0)</f>
        <v>3706016121</v>
      </c>
    </row>
    <row r="315" spans="1:10" ht="16.5" x14ac:dyDescent="0.2">
      <c r="A315" s="3" t="s">
        <v>393</v>
      </c>
      <c r="B315" s="3">
        <v>312</v>
      </c>
      <c r="C315" s="3">
        <f t="shared" si="17"/>
        <v>623</v>
      </c>
      <c r="D315" s="3">
        <f t="shared" si="18"/>
        <v>624</v>
      </c>
      <c r="E315" s="3" t="str">
        <f t="shared" si="16"/>
        <v>dump:2216106073&amp;3216106073</v>
      </c>
      <c r="F315" s="3" t="str">
        <f t="shared" si="19"/>
        <v>哑资源设备_312</v>
      </c>
      <c r="G315" s="10" t="s">
        <v>406</v>
      </c>
      <c r="H315" s="3" t="str">
        <f>"检测机架"&amp;INDEX([1]机架!$D:$D,C315+3)&amp;IF(D315&lt;&gt;"","和"&amp;INDEX([1]机架!$D:$D,D315+3),"")&amp;"的数据"</f>
        <v>检测机架莱州市局の机架-5和莱州市局の机架-6的数据</v>
      </c>
      <c r="I315" s="3">
        <f>INDEX([1]机架!$C:$C,C315+3)</f>
        <v>3706016122</v>
      </c>
      <c r="J315" s="3">
        <f>IF(D315&lt;&gt;"",INDEX([1]机架!$C:$C,D315+3),0)</f>
        <v>3706016123</v>
      </c>
    </row>
    <row r="316" spans="1:10" ht="16.5" x14ac:dyDescent="0.2">
      <c r="A316" s="3" t="s">
        <v>393</v>
      </c>
      <c r="B316" s="3">
        <v>313</v>
      </c>
      <c r="C316" s="3">
        <f t="shared" si="17"/>
        <v>625</v>
      </c>
      <c r="D316" s="3">
        <f t="shared" si="18"/>
        <v>626</v>
      </c>
      <c r="E316" s="3" t="str">
        <f t="shared" si="16"/>
        <v>dump:1316106073&amp;2316106073</v>
      </c>
      <c r="F316" s="3" t="str">
        <f t="shared" si="19"/>
        <v>哑资源设备_313</v>
      </c>
      <c r="G316" s="10" t="s">
        <v>406</v>
      </c>
      <c r="H316" s="3" t="str">
        <f>"检测机架"&amp;INDEX([1]机架!$D:$D,C316+3)&amp;IF(D316&lt;&gt;"","和"&amp;INDEX([1]机架!$D:$D,D316+3),"")&amp;"的数据"</f>
        <v>检测机架莱州市局の机架-7和莱州市局の机架-8的数据</v>
      </c>
      <c r="I316" s="3">
        <f>INDEX([1]机架!$C:$C,C316+3)</f>
        <v>3706016131</v>
      </c>
      <c r="J316" s="3">
        <f>IF(D316&lt;&gt;"",INDEX([1]机架!$C:$C,D316+3),0)</f>
        <v>3706016132</v>
      </c>
    </row>
    <row r="317" spans="1:10" ht="16.5" x14ac:dyDescent="0.2">
      <c r="A317" s="3" t="s">
        <v>393</v>
      </c>
      <c r="B317" s="3">
        <v>314</v>
      </c>
      <c r="C317" s="3">
        <f t="shared" si="17"/>
        <v>627</v>
      </c>
      <c r="D317" s="3">
        <f t="shared" si="18"/>
        <v>628</v>
      </c>
      <c r="E317" s="3" t="str">
        <f t="shared" si="16"/>
        <v>dump:3316106073&amp;1117106073</v>
      </c>
      <c r="F317" s="3" t="str">
        <f t="shared" si="19"/>
        <v>哑资源设备_314</v>
      </c>
      <c r="G317" s="10" t="s">
        <v>406</v>
      </c>
      <c r="H317" s="3" t="str">
        <f>"检测机架"&amp;INDEX([1]机架!$D:$D,C317+3)&amp;IF(D317&lt;&gt;"","和"&amp;INDEX([1]机架!$D:$D,D317+3),"")&amp;"的数据"</f>
        <v>检测机架莱州市局の机架-9和莱州朱桥の机架-1的数据</v>
      </c>
      <c r="I317" s="3">
        <f>INDEX([1]机架!$C:$C,C317+3)</f>
        <v>3706016133</v>
      </c>
      <c r="J317" s="3">
        <f>IF(D317&lt;&gt;"",INDEX([1]机架!$C:$C,D317+3),0)</f>
        <v>3706017111</v>
      </c>
    </row>
    <row r="318" spans="1:10" ht="16.5" x14ac:dyDescent="0.2">
      <c r="A318" s="3" t="s">
        <v>393</v>
      </c>
      <c r="B318" s="3">
        <v>315</v>
      </c>
      <c r="C318" s="3">
        <f t="shared" si="17"/>
        <v>629</v>
      </c>
      <c r="D318" s="3">
        <f t="shared" si="18"/>
        <v>630</v>
      </c>
      <c r="E318" s="3" t="str">
        <f t="shared" si="16"/>
        <v>dump:2117106073&amp;3117106073</v>
      </c>
      <c r="F318" s="3" t="str">
        <f t="shared" si="19"/>
        <v>哑资源设备_315</v>
      </c>
      <c r="G318" s="10" t="s">
        <v>406</v>
      </c>
      <c r="H318" s="3" t="str">
        <f>"检测机架"&amp;INDEX([1]机架!$D:$D,C318+3)&amp;IF(D318&lt;&gt;"","和"&amp;INDEX([1]机架!$D:$D,D318+3),"")&amp;"的数据"</f>
        <v>检测机架莱州朱桥の机架-2和莱州朱桥の机架-3的数据</v>
      </c>
      <c r="I318" s="3">
        <f>INDEX([1]机架!$C:$C,C318+3)</f>
        <v>3706017112</v>
      </c>
      <c r="J318" s="3">
        <f>IF(D318&lt;&gt;"",INDEX([1]机架!$C:$C,D318+3),0)</f>
        <v>3706017113</v>
      </c>
    </row>
    <row r="319" spans="1:10" ht="16.5" x14ac:dyDescent="0.2">
      <c r="A319" s="3" t="s">
        <v>393</v>
      </c>
      <c r="B319" s="3">
        <v>316</v>
      </c>
      <c r="C319" s="3">
        <f t="shared" si="17"/>
        <v>631</v>
      </c>
      <c r="D319" s="3">
        <f t="shared" si="18"/>
        <v>632</v>
      </c>
      <c r="E319" s="3" t="str">
        <f t="shared" si="16"/>
        <v>dump:1217106073&amp;2217106073</v>
      </c>
      <c r="F319" s="3" t="str">
        <f t="shared" si="19"/>
        <v>哑资源设备_316</v>
      </c>
      <c r="G319" s="10" t="s">
        <v>406</v>
      </c>
      <c r="H319" s="3" t="str">
        <f>"检测机架"&amp;INDEX([1]机架!$D:$D,C319+3)&amp;IF(D319&lt;&gt;"","和"&amp;INDEX([1]机架!$D:$D,D319+3),"")&amp;"的数据"</f>
        <v>检测机架莱州朱桥の机架-4和莱州朱桥の机架-5的数据</v>
      </c>
      <c r="I319" s="3">
        <f>INDEX([1]机架!$C:$C,C319+3)</f>
        <v>3706017121</v>
      </c>
      <c r="J319" s="3">
        <f>IF(D319&lt;&gt;"",INDEX([1]机架!$C:$C,D319+3),0)</f>
        <v>3706017122</v>
      </c>
    </row>
    <row r="320" spans="1:10" ht="16.5" x14ac:dyDescent="0.2">
      <c r="A320" s="3" t="s">
        <v>393</v>
      </c>
      <c r="B320" s="3">
        <v>317</v>
      </c>
      <c r="C320" s="3">
        <f t="shared" si="17"/>
        <v>633</v>
      </c>
      <c r="D320" s="3">
        <f t="shared" si="18"/>
        <v>634</v>
      </c>
      <c r="E320" s="3" t="str">
        <f t="shared" si="16"/>
        <v>dump:3217106073&amp;1317106073</v>
      </c>
      <c r="F320" s="3" t="str">
        <f t="shared" si="19"/>
        <v>哑资源设备_317</v>
      </c>
      <c r="G320" s="10" t="s">
        <v>406</v>
      </c>
      <c r="H320" s="3" t="str">
        <f>"检测机架"&amp;INDEX([1]机架!$D:$D,C320+3)&amp;IF(D320&lt;&gt;"","和"&amp;INDEX([1]机架!$D:$D,D320+3),"")&amp;"的数据"</f>
        <v>检测机架莱州朱桥の机架-6和莱州朱桥の机架-7的数据</v>
      </c>
      <c r="I320" s="3">
        <f>INDEX([1]机架!$C:$C,C320+3)</f>
        <v>3706017123</v>
      </c>
      <c r="J320" s="3">
        <f>IF(D320&lt;&gt;"",INDEX([1]机架!$C:$C,D320+3),0)</f>
        <v>3706017131</v>
      </c>
    </row>
    <row r="321" spans="1:10" ht="16.5" x14ac:dyDescent="0.2">
      <c r="A321" s="3" t="s">
        <v>393</v>
      </c>
      <c r="B321" s="3">
        <v>318</v>
      </c>
      <c r="C321" s="3">
        <f t="shared" si="17"/>
        <v>635</v>
      </c>
      <c r="D321" s="3">
        <f t="shared" si="18"/>
        <v>636</v>
      </c>
      <c r="E321" s="3" t="str">
        <f t="shared" si="16"/>
        <v>dump:2317106073&amp;3317106073</v>
      </c>
      <c r="F321" s="3" t="str">
        <f t="shared" si="19"/>
        <v>哑资源设备_318</v>
      </c>
      <c r="G321" s="10" t="s">
        <v>406</v>
      </c>
      <c r="H321" s="3" t="str">
        <f>"检测机架"&amp;INDEX([1]机架!$D:$D,C321+3)&amp;IF(D321&lt;&gt;"","和"&amp;INDEX([1]机架!$D:$D,D321+3),"")&amp;"的数据"</f>
        <v>检测机架莱州朱桥の机架-8和莱州朱桥の机架-9的数据</v>
      </c>
      <c r="I321" s="3">
        <f>INDEX([1]机架!$C:$C,C321+3)</f>
        <v>3706017132</v>
      </c>
      <c r="J321" s="3">
        <f>IF(D321&lt;&gt;"",INDEX([1]机架!$C:$C,D321+3),0)</f>
        <v>3706017133</v>
      </c>
    </row>
    <row r="322" spans="1:10" ht="16.5" x14ac:dyDescent="0.2">
      <c r="A322" s="3" t="s">
        <v>393</v>
      </c>
      <c r="B322" s="3">
        <v>319</v>
      </c>
      <c r="C322" s="3">
        <f t="shared" si="17"/>
        <v>637</v>
      </c>
      <c r="D322" s="3">
        <f t="shared" si="18"/>
        <v>638</v>
      </c>
      <c r="E322" s="3" t="str">
        <f t="shared" si="16"/>
        <v>dump:1118106073&amp;2118106073</v>
      </c>
      <c r="F322" s="3" t="str">
        <f t="shared" si="19"/>
        <v>哑资源设备_319</v>
      </c>
      <c r="G322" s="10" t="s">
        <v>406</v>
      </c>
      <c r="H322" s="3" t="str">
        <f>"检测机架"&amp;INDEX([1]机架!$D:$D,C322+3)&amp;IF(D322&lt;&gt;"","和"&amp;INDEX([1]机架!$D:$D,D322+3),"")&amp;"的数据"</f>
        <v>检测机架蓬莱老局の机架-1和蓬莱老局の机架-2的数据</v>
      </c>
      <c r="I322" s="3">
        <f>INDEX([1]机架!$C:$C,C322+3)</f>
        <v>3706018111</v>
      </c>
      <c r="J322" s="3">
        <f>IF(D322&lt;&gt;"",INDEX([1]机架!$C:$C,D322+3),0)</f>
        <v>3706018112</v>
      </c>
    </row>
    <row r="323" spans="1:10" ht="16.5" x14ac:dyDescent="0.2">
      <c r="A323" s="3" t="s">
        <v>393</v>
      </c>
      <c r="B323" s="3">
        <v>320</v>
      </c>
      <c r="C323" s="3">
        <f t="shared" si="17"/>
        <v>639</v>
      </c>
      <c r="D323" s="3">
        <f t="shared" si="18"/>
        <v>640</v>
      </c>
      <c r="E323" s="3" t="str">
        <f t="shared" si="16"/>
        <v>dump:3118106073&amp;1218106073</v>
      </c>
      <c r="F323" s="3" t="str">
        <f t="shared" si="19"/>
        <v>哑资源设备_320</v>
      </c>
      <c r="G323" s="10" t="s">
        <v>406</v>
      </c>
      <c r="H323" s="3" t="str">
        <f>"检测机架"&amp;INDEX([1]机架!$D:$D,C323+3)&amp;IF(D323&lt;&gt;"","和"&amp;INDEX([1]机架!$D:$D,D323+3),"")&amp;"的数据"</f>
        <v>检测机架蓬莱老局の机架-3和蓬莱老局の机架-4的数据</v>
      </c>
      <c r="I323" s="3">
        <f>INDEX([1]机架!$C:$C,C323+3)</f>
        <v>3706018113</v>
      </c>
      <c r="J323" s="3">
        <f>IF(D323&lt;&gt;"",INDEX([1]机架!$C:$C,D323+3),0)</f>
        <v>3706018121</v>
      </c>
    </row>
    <row r="324" spans="1:10" ht="16.5" x14ac:dyDescent="0.2">
      <c r="A324" s="3" t="s">
        <v>393</v>
      </c>
      <c r="B324" s="3">
        <v>321</v>
      </c>
      <c r="C324" s="3">
        <f t="shared" si="17"/>
        <v>641</v>
      </c>
      <c r="D324" s="3">
        <f t="shared" si="18"/>
        <v>642</v>
      </c>
      <c r="E324" s="3" t="str">
        <f t="shared" ref="E324:E387" si="20">"dump:"&amp;Reverse(I324)&amp;"&amp;"&amp;Reverse(J324)</f>
        <v>dump:2218106073&amp;3218106073</v>
      </c>
      <c r="F324" s="3" t="str">
        <f t="shared" si="19"/>
        <v>哑资源设备_321</v>
      </c>
      <c r="G324" s="10" t="s">
        <v>406</v>
      </c>
      <c r="H324" s="3" t="str">
        <f>"检测机架"&amp;INDEX([1]机架!$D:$D,C324+3)&amp;IF(D324&lt;&gt;"","和"&amp;INDEX([1]机架!$D:$D,D324+3),"")&amp;"的数据"</f>
        <v>检测机架蓬莱老局の机架-5和蓬莱老局の机架-6的数据</v>
      </c>
      <c r="I324" s="3">
        <f>INDEX([1]机架!$C:$C,C324+3)</f>
        <v>3706018122</v>
      </c>
      <c r="J324" s="3">
        <f>IF(D324&lt;&gt;"",INDEX([1]机架!$C:$C,D324+3),0)</f>
        <v>3706018123</v>
      </c>
    </row>
    <row r="325" spans="1:10" ht="16.5" x14ac:dyDescent="0.2">
      <c r="A325" s="3" t="s">
        <v>393</v>
      </c>
      <c r="B325" s="3">
        <v>322</v>
      </c>
      <c r="C325" s="3">
        <f t="shared" ref="C325:C388" si="21">MOD(B325-1,INT(($N$3+1)/2))*2+1</f>
        <v>643</v>
      </c>
      <c r="D325" s="3">
        <f t="shared" ref="D325:D388" si="22">IF(C325&lt;$N$3,MOD(B325-1,INT(($N$3+1)/2))*2+2,"")</f>
        <v>644</v>
      </c>
      <c r="E325" s="3" t="str">
        <f t="shared" si="20"/>
        <v>dump:1318106073&amp;2318106073</v>
      </c>
      <c r="F325" s="3" t="str">
        <f t="shared" ref="F325:F388" si="23">"哑资源设备_"&amp;B325</f>
        <v>哑资源设备_322</v>
      </c>
      <c r="G325" s="10" t="s">
        <v>406</v>
      </c>
      <c r="H325" s="3" t="str">
        <f>"检测机架"&amp;INDEX([1]机架!$D:$D,C325+3)&amp;IF(D325&lt;&gt;"","和"&amp;INDEX([1]机架!$D:$D,D325+3),"")&amp;"的数据"</f>
        <v>检测机架蓬莱老局の机架-7和蓬莱老局の机架-8的数据</v>
      </c>
      <c r="I325" s="3">
        <f>INDEX([1]机架!$C:$C,C325+3)</f>
        <v>3706018131</v>
      </c>
      <c r="J325" s="3">
        <f>IF(D325&lt;&gt;"",INDEX([1]机架!$C:$C,D325+3),0)</f>
        <v>3706018132</v>
      </c>
    </row>
    <row r="326" spans="1:10" ht="16.5" x14ac:dyDescent="0.2">
      <c r="A326" s="3" t="s">
        <v>393</v>
      </c>
      <c r="B326" s="3">
        <v>323</v>
      </c>
      <c r="C326" s="3">
        <f t="shared" si="21"/>
        <v>645</v>
      </c>
      <c r="D326" s="3">
        <f t="shared" si="22"/>
        <v>646</v>
      </c>
      <c r="E326" s="3" t="str">
        <f t="shared" si="20"/>
        <v>dump:3318106073&amp;1119106073</v>
      </c>
      <c r="F326" s="3" t="str">
        <f t="shared" si="23"/>
        <v>哑资源设备_323</v>
      </c>
      <c r="G326" s="10" t="s">
        <v>406</v>
      </c>
      <c r="H326" s="3" t="str">
        <f>"检测机架"&amp;INDEX([1]机架!$D:$D,C326+3)&amp;IF(D326&lt;&gt;"","和"&amp;INDEX([1]机架!$D:$D,D326+3),"")&amp;"的数据"</f>
        <v>检测机架蓬莱老局の机架-9和蓬莱大辛店の机架-1的数据</v>
      </c>
      <c r="I326" s="3">
        <f>INDEX([1]机架!$C:$C,C326+3)</f>
        <v>3706018133</v>
      </c>
      <c r="J326" s="3">
        <f>IF(D326&lt;&gt;"",INDEX([1]机架!$C:$C,D326+3),0)</f>
        <v>3706019111</v>
      </c>
    </row>
    <row r="327" spans="1:10" ht="16.5" x14ac:dyDescent="0.2">
      <c r="A327" s="3" t="s">
        <v>393</v>
      </c>
      <c r="B327" s="3">
        <v>324</v>
      </c>
      <c r="C327" s="3">
        <f t="shared" si="21"/>
        <v>647</v>
      </c>
      <c r="D327" s="3">
        <f t="shared" si="22"/>
        <v>648</v>
      </c>
      <c r="E327" s="3" t="str">
        <f t="shared" si="20"/>
        <v>dump:2119106073&amp;3119106073</v>
      </c>
      <c r="F327" s="3" t="str">
        <f t="shared" si="23"/>
        <v>哑资源设备_324</v>
      </c>
      <c r="G327" s="10" t="s">
        <v>406</v>
      </c>
      <c r="H327" s="3" t="str">
        <f>"检测机架"&amp;INDEX([1]机架!$D:$D,C327+3)&amp;IF(D327&lt;&gt;"","和"&amp;INDEX([1]机架!$D:$D,D327+3),"")&amp;"的数据"</f>
        <v>检测机架蓬莱大辛店の机架-2和蓬莱大辛店の机架-3的数据</v>
      </c>
      <c r="I327" s="3">
        <f>INDEX([1]机架!$C:$C,C327+3)</f>
        <v>3706019112</v>
      </c>
      <c r="J327" s="3">
        <f>IF(D327&lt;&gt;"",INDEX([1]机架!$C:$C,D327+3),0)</f>
        <v>3706019113</v>
      </c>
    </row>
    <row r="328" spans="1:10" ht="16.5" x14ac:dyDescent="0.2">
      <c r="A328" s="3" t="s">
        <v>393</v>
      </c>
      <c r="B328" s="3">
        <v>325</v>
      </c>
      <c r="C328" s="3">
        <f t="shared" si="21"/>
        <v>649</v>
      </c>
      <c r="D328" s="3">
        <f t="shared" si="22"/>
        <v>650</v>
      </c>
      <c r="E328" s="3" t="str">
        <f t="shared" si="20"/>
        <v>dump:1219106073&amp;2219106073</v>
      </c>
      <c r="F328" s="3" t="str">
        <f t="shared" si="23"/>
        <v>哑资源设备_325</v>
      </c>
      <c r="G328" s="10" t="s">
        <v>406</v>
      </c>
      <c r="H328" s="3" t="str">
        <f>"检测机架"&amp;INDEX([1]机架!$D:$D,C328+3)&amp;IF(D328&lt;&gt;"","和"&amp;INDEX([1]机架!$D:$D,D328+3),"")&amp;"的数据"</f>
        <v>检测机架蓬莱大辛店の机架-4和蓬莱大辛店の机架-5的数据</v>
      </c>
      <c r="I328" s="3">
        <f>INDEX([1]机架!$C:$C,C328+3)</f>
        <v>3706019121</v>
      </c>
      <c r="J328" s="3">
        <f>IF(D328&lt;&gt;"",INDEX([1]机架!$C:$C,D328+3),0)</f>
        <v>3706019122</v>
      </c>
    </row>
    <row r="329" spans="1:10" ht="16.5" x14ac:dyDescent="0.2">
      <c r="A329" s="3" t="s">
        <v>393</v>
      </c>
      <c r="B329" s="3">
        <v>326</v>
      </c>
      <c r="C329" s="3">
        <f t="shared" si="21"/>
        <v>651</v>
      </c>
      <c r="D329" s="3">
        <f t="shared" si="22"/>
        <v>652</v>
      </c>
      <c r="E329" s="3" t="str">
        <f t="shared" si="20"/>
        <v>dump:3219106073&amp;1319106073</v>
      </c>
      <c r="F329" s="3" t="str">
        <f t="shared" si="23"/>
        <v>哑资源设备_326</v>
      </c>
      <c r="G329" s="10" t="s">
        <v>406</v>
      </c>
      <c r="H329" s="3" t="str">
        <f>"检测机架"&amp;INDEX([1]机架!$D:$D,C329+3)&amp;IF(D329&lt;&gt;"","和"&amp;INDEX([1]机架!$D:$D,D329+3),"")&amp;"的数据"</f>
        <v>检测机架蓬莱大辛店の机架-6和蓬莱大辛店の机架-7的数据</v>
      </c>
      <c r="I329" s="3">
        <f>INDEX([1]机架!$C:$C,C329+3)</f>
        <v>3706019123</v>
      </c>
      <c r="J329" s="3">
        <f>IF(D329&lt;&gt;"",INDEX([1]机架!$C:$C,D329+3),0)</f>
        <v>3706019131</v>
      </c>
    </row>
    <row r="330" spans="1:10" ht="16.5" x14ac:dyDescent="0.2">
      <c r="A330" s="3" t="s">
        <v>393</v>
      </c>
      <c r="B330" s="3">
        <v>327</v>
      </c>
      <c r="C330" s="3">
        <f t="shared" si="21"/>
        <v>653</v>
      </c>
      <c r="D330" s="3">
        <f t="shared" si="22"/>
        <v>654</v>
      </c>
      <c r="E330" s="3" t="str">
        <f t="shared" si="20"/>
        <v>dump:2319106073&amp;3319106073</v>
      </c>
      <c r="F330" s="3" t="str">
        <f t="shared" si="23"/>
        <v>哑资源设备_327</v>
      </c>
      <c r="G330" s="10" t="s">
        <v>406</v>
      </c>
      <c r="H330" s="3" t="str">
        <f>"检测机架"&amp;INDEX([1]机架!$D:$D,C330+3)&amp;IF(D330&lt;&gt;"","和"&amp;INDEX([1]机架!$D:$D,D330+3),"")&amp;"的数据"</f>
        <v>检测机架蓬莱大辛店の机架-8和蓬莱大辛店の机架-9的数据</v>
      </c>
      <c r="I330" s="3">
        <f>INDEX([1]机架!$C:$C,C330+3)</f>
        <v>3706019132</v>
      </c>
      <c r="J330" s="3">
        <f>IF(D330&lt;&gt;"",INDEX([1]机架!$C:$C,D330+3),0)</f>
        <v>3706019133</v>
      </c>
    </row>
    <row r="331" spans="1:10" ht="16.5" x14ac:dyDescent="0.2">
      <c r="A331" s="3" t="s">
        <v>393</v>
      </c>
      <c r="B331" s="3">
        <v>328</v>
      </c>
      <c r="C331" s="3">
        <f t="shared" si="21"/>
        <v>655</v>
      </c>
      <c r="D331" s="3">
        <f t="shared" si="22"/>
        <v>656</v>
      </c>
      <c r="E331" s="3" t="str">
        <f t="shared" si="20"/>
        <v>dump:1110206073&amp;2110206073</v>
      </c>
      <c r="F331" s="3" t="str">
        <f t="shared" si="23"/>
        <v>哑资源设备_328</v>
      </c>
      <c r="G331" s="10" t="s">
        <v>406</v>
      </c>
      <c r="H331" s="3" t="str">
        <f>"检测机架"&amp;INDEX([1]机架!$D:$D,C331+3)&amp;IF(D331&lt;&gt;"","和"&amp;INDEX([1]机架!$D:$D,D331+3),"")&amp;"的数据"</f>
        <v>检测机架牟平42局の机架-1和牟平42局の机架-2的数据</v>
      </c>
      <c r="I331" s="3">
        <f>INDEX([1]机架!$C:$C,C331+3)</f>
        <v>3706020111</v>
      </c>
      <c r="J331" s="3">
        <f>IF(D331&lt;&gt;"",INDEX([1]机架!$C:$C,D331+3),0)</f>
        <v>3706020112</v>
      </c>
    </row>
    <row r="332" spans="1:10" ht="16.5" x14ac:dyDescent="0.2">
      <c r="A332" s="3" t="s">
        <v>393</v>
      </c>
      <c r="B332" s="3">
        <v>329</v>
      </c>
      <c r="C332" s="3">
        <f t="shared" si="21"/>
        <v>657</v>
      </c>
      <c r="D332" s="3">
        <f t="shared" si="22"/>
        <v>658</v>
      </c>
      <c r="E332" s="3" t="str">
        <f t="shared" si="20"/>
        <v>dump:3110206073&amp;1210206073</v>
      </c>
      <c r="F332" s="3" t="str">
        <f t="shared" si="23"/>
        <v>哑资源设备_329</v>
      </c>
      <c r="G332" s="10" t="s">
        <v>406</v>
      </c>
      <c r="H332" s="3" t="str">
        <f>"检测机架"&amp;INDEX([1]机架!$D:$D,C332+3)&amp;IF(D332&lt;&gt;"","和"&amp;INDEX([1]机架!$D:$D,D332+3),"")&amp;"的数据"</f>
        <v>检测机架牟平42局の机架-3和牟平42局の机架-4的数据</v>
      </c>
      <c r="I332" s="3">
        <f>INDEX([1]机架!$C:$C,C332+3)</f>
        <v>3706020113</v>
      </c>
      <c r="J332" s="3">
        <f>IF(D332&lt;&gt;"",INDEX([1]机架!$C:$C,D332+3),0)</f>
        <v>3706020121</v>
      </c>
    </row>
    <row r="333" spans="1:10" ht="16.5" x14ac:dyDescent="0.2">
      <c r="A333" s="3" t="s">
        <v>393</v>
      </c>
      <c r="B333" s="3">
        <v>330</v>
      </c>
      <c r="C333" s="3">
        <f t="shared" si="21"/>
        <v>659</v>
      </c>
      <c r="D333" s="3">
        <f t="shared" si="22"/>
        <v>660</v>
      </c>
      <c r="E333" s="3" t="str">
        <f t="shared" si="20"/>
        <v>dump:2210206073&amp;3210206073</v>
      </c>
      <c r="F333" s="3" t="str">
        <f t="shared" si="23"/>
        <v>哑资源设备_330</v>
      </c>
      <c r="G333" s="10" t="s">
        <v>406</v>
      </c>
      <c r="H333" s="3" t="str">
        <f>"检测机架"&amp;INDEX([1]机架!$D:$D,C333+3)&amp;IF(D333&lt;&gt;"","和"&amp;INDEX([1]机架!$D:$D,D333+3),"")&amp;"的数据"</f>
        <v>检测机架牟平42局の机架-5和牟平42局の机架-6的数据</v>
      </c>
      <c r="I333" s="3">
        <f>INDEX([1]机架!$C:$C,C333+3)</f>
        <v>3706020122</v>
      </c>
      <c r="J333" s="3">
        <f>IF(D333&lt;&gt;"",INDEX([1]机架!$C:$C,D333+3),0)</f>
        <v>3706020123</v>
      </c>
    </row>
    <row r="334" spans="1:10" ht="16.5" x14ac:dyDescent="0.2">
      <c r="A334" s="3" t="s">
        <v>393</v>
      </c>
      <c r="B334" s="3">
        <v>331</v>
      </c>
      <c r="C334" s="3">
        <f t="shared" si="21"/>
        <v>661</v>
      </c>
      <c r="D334" s="3">
        <f t="shared" si="22"/>
        <v>662</v>
      </c>
      <c r="E334" s="3" t="str">
        <f t="shared" si="20"/>
        <v>dump:1310206073&amp;2310206073</v>
      </c>
      <c r="F334" s="3" t="str">
        <f t="shared" si="23"/>
        <v>哑资源设备_331</v>
      </c>
      <c r="G334" s="10" t="s">
        <v>406</v>
      </c>
      <c r="H334" s="3" t="str">
        <f>"检测机架"&amp;INDEX([1]机架!$D:$D,C334+3)&amp;IF(D334&lt;&gt;"","和"&amp;INDEX([1]机架!$D:$D,D334+3),"")&amp;"的数据"</f>
        <v>检测机架牟平42局の机架-7和牟平42局の机架-8的数据</v>
      </c>
      <c r="I334" s="3">
        <f>INDEX([1]机架!$C:$C,C334+3)</f>
        <v>3706020131</v>
      </c>
      <c r="J334" s="3">
        <f>IF(D334&lt;&gt;"",INDEX([1]机架!$C:$C,D334+3),0)</f>
        <v>3706020132</v>
      </c>
    </row>
    <row r="335" spans="1:10" ht="16.5" x14ac:dyDescent="0.2">
      <c r="A335" s="3" t="s">
        <v>393</v>
      </c>
      <c r="B335" s="3">
        <v>332</v>
      </c>
      <c r="C335" s="3">
        <f t="shared" si="21"/>
        <v>663</v>
      </c>
      <c r="D335" s="3">
        <f t="shared" si="22"/>
        <v>664</v>
      </c>
      <c r="E335" s="3" t="str">
        <f t="shared" si="20"/>
        <v>dump:3310206073&amp;1111007073</v>
      </c>
      <c r="F335" s="3" t="str">
        <f t="shared" si="23"/>
        <v>哑资源设备_332</v>
      </c>
      <c r="G335" s="10" t="s">
        <v>406</v>
      </c>
      <c r="H335" s="3" t="str">
        <f>"检测机架"&amp;INDEX([1]机架!$D:$D,C335+3)&amp;IF(D335&lt;&gt;"","和"&amp;INDEX([1]机架!$D:$D,D335+3),"")&amp;"的数据"</f>
        <v>检测机架牟平42局の机架-9和潍坊河西局の机架-1的数据</v>
      </c>
      <c r="I335" s="3">
        <f>INDEX([1]机架!$C:$C,C335+3)</f>
        <v>3706020133</v>
      </c>
      <c r="J335" s="3">
        <f>IF(D335&lt;&gt;"",INDEX([1]机架!$C:$C,D335+3),0)</f>
        <v>3707001111</v>
      </c>
    </row>
    <row r="336" spans="1:10" ht="16.5" x14ac:dyDescent="0.2">
      <c r="A336" s="3" t="s">
        <v>393</v>
      </c>
      <c r="B336" s="3">
        <v>333</v>
      </c>
      <c r="C336" s="3">
        <f t="shared" si="21"/>
        <v>665</v>
      </c>
      <c r="D336" s="3">
        <f t="shared" si="22"/>
        <v>666</v>
      </c>
      <c r="E336" s="3" t="str">
        <f t="shared" si="20"/>
        <v>dump:2111007073&amp;3111007073</v>
      </c>
      <c r="F336" s="3" t="str">
        <f t="shared" si="23"/>
        <v>哑资源设备_333</v>
      </c>
      <c r="G336" s="10" t="s">
        <v>406</v>
      </c>
      <c r="H336" s="3" t="str">
        <f>"检测机架"&amp;INDEX([1]机架!$D:$D,C336+3)&amp;IF(D336&lt;&gt;"","和"&amp;INDEX([1]机架!$D:$D,D336+3),"")&amp;"的数据"</f>
        <v>检测机架潍坊河西局の机架-2和潍坊河西局の机架-3的数据</v>
      </c>
      <c r="I336" s="3">
        <f>INDEX([1]机架!$C:$C,C336+3)</f>
        <v>3707001112</v>
      </c>
      <c r="J336" s="3">
        <f>IF(D336&lt;&gt;"",INDEX([1]机架!$C:$C,D336+3),0)</f>
        <v>3707001113</v>
      </c>
    </row>
    <row r="337" spans="1:10" ht="16.5" x14ac:dyDescent="0.2">
      <c r="A337" s="3" t="s">
        <v>393</v>
      </c>
      <c r="B337" s="3">
        <v>334</v>
      </c>
      <c r="C337" s="3">
        <f t="shared" si="21"/>
        <v>667</v>
      </c>
      <c r="D337" s="3">
        <f t="shared" si="22"/>
        <v>668</v>
      </c>
      <c r="E337" s="3" t="str">
        <f t="shared" si="20"/>
        <v>dump:1211007073&amp;2211007073</v>
      </c>
      <c r="F337" s="3" t="str">
        <f t="shared" si="23"/>
        <v>哑资源设备_334</v>
      </c>
      <c r="G337" s="10" t="s">
        <v>406</v>
      </c>
      <c r="H337" s="3" t="str">
        <f>"检测机架"&amp;INDEX([1]机架!$D:$D,C337+3)&amp;IF(D337&lt;&gt;"","和"&amp;INDEX([1]机架!$D:$D,D337+3),"")&amp;"的数据"</f>
        <v>检测机架潍坊河西局の机架-4和潍坊河西局の机架-5的数据</v>
      </c>
      <c r="I337" s="3">
        <f>INDEX([1]机架!$C:$C,C337+3)</f>
        <v>3707001121</v>
      </c>
      <c r="J337" s="3">
        <f>IF(D337&lt;&gt;"",INDEX([1]机架!$C:$C,D337+3),0)</f>
        <v>3707001122</v>
      </c>
    </row>
    <row r="338" spans="1:10" ht="16.5" x14ac:dyDescent="0.2">
      <c r="A338" s="3" t="s">
        <v>393</v>
      </c>
      <c r="B338" s="3">
        <v>335</v>
      </c>
      <c r="C338" s="3">
        <f t="shared" si="21"/>
        <v>669</v>
      </c>
      <c r="D338" s="3">
        <f t="shared" si="22"/>
        <v>670</v>
      </c>
      <c r="E338" s="3" t="str">
        <f t="shared" si="20"/>
        <v>dump:3211007073&amp;1311007073</v>
      </c>
      <c r="F338" s="3" t="str">
        <f t="shared" si="23"/>
        <v>哑资源设备_335</v>
      </c>
      <c r="G338" s="10" t="s">
        <v>406</v>
      </c>
      <c r="H338" s="3" t="str">
        <f>"检测机架"&amp;INDEX([1]机架!$D:$D,C338+3)&amp;IF(D338&lt;&gt;"","和"&amp;INDEX([1]机架!$D:$D,D338+3),"")&amp;"的数据"</f>
        <v>检测机架潍坊河西局の机架-6和潍坊河西局の机架-7的数据</v>
      </c>
      <c r="I338" s="3">
        <f>INDEX([1]机架!$C:$C,C338+3)</f>
        <v>3707001123</v>
      </c>
      <c r="J338" s="3">
        <f>IF(D338&lt;&gt;"",INDEX([1]机架!$C:$C,D338+3),0)</f>
        <v>3707001131</v>
      </c>
    </row>
    <row r="339" spans="1:10" ht="16.5" x14ac:dyDescent="0.2">
      <c r="A339" s="3" t="s">
        <v>393</v>
      </c>
      <c r="B339" s="3">
        <v>336</v>
      </c>
      <c r="C339" s="3">
        <f t="shared" si="21"/>
        <v>671</v>
      </c>
      <c r="D339" s="3">
        <f t="shared" si="22"/>
        <v>672</v>
      </c>
      <c r="E339" s="3" t="str">
        <f t="shared" si="20"/>
        <v>dump:2311007073&amp;3311007073</v>
      </c>
      <c r="F339" s="3" t="str">
        <f t="shared" si="23"/>
        <v>哑资源设备_336</v>
      </c>
      <c r="G339" s="10" t="s">
        <v>406</v>
      </c>
      <c r="H339" s="3" t="str">
        <f>"检测机架"&amp;INDEX([1]机架!$D:$D,C339+3)&amp;IF(D339&lt;&gt;"","和"&amp;INDEX([1]机架!$D:$D,D339+3),"")&amp;"的数据"</f>
        <v>检测机架潍坊河西局の机架-8和潍坊河西局の机架-9的数据</v>
      </c>
      <c r="I339" s="3">
        <f>INDEX([1]机架!$C:$C,C339+3)</f>
        <v>3707001132</v>
      </c>
      <c r="J339" s="3">
        <f>IF(D339&lt;&gt;"",INDEX([1]机架!$C:$C,D339+3),0)</f>
        <v>3707001133</v>
      </c>
    </row>
    <row r="340" spans="1:10" ht="16.5" x14ac:dyDescent="0.2">
      <c r="A340" s="3" t="s">
        <v>393</v>
      </c>
      <c r="B340" s="3">
        <v>337</v>
      </c>
      <c r="C340" s="3">
        <f t="shared" si="21"/>
        <v>673</v>
      </c>
      <c r="D340" s="3">
        <f t="shared" si="22"/>
        <v>674</v>
      </c>
      <c r="E340" s="3" t="str">
        <f t="shared" si="20"/>
        <v>dump:1121007073&amp;2121007073</v>
      </c>
      <c r="F340" s="3" t="str">
        <f t="shared" si="23"/>
        <v>哑资源设备_337</v>
      </c>
      <c r="G340" s="10" t="s">
        <v>406</v>
      </c>
      <c r="H340" s="3" t="str">
        <f>"检测机架"&amp;INDEX([1]机架!$D:$D,C340+3)&amp;IF(D340&lt;&gt;"","和"&amp;INDEX([1]机架!$D:$D,D340+3),"")&amp;"的数据"</f>
        <v>检测机架潍坊河西局の机架-10和潍坊河西局の机架-11的数据</v>
      </c>
      <c r="I340" s="3">
        <f>INDEX([1]机架!$C:$C,C340+3)</f>
        <v>3707001211</v>
      </c>
      <c r="J340" s="3">
        <f>IF(D340&lt;&gt;"",INDEX([1]机架!$C:$C,D340+3),0)</f>
        <v>3707001212</v>
      </c>
    </row>
    <row r="341" spans="1:10" ht="16.5" x14ac:dyDescent="0.2">
      <c r="A341" s="3" t="s">
        <v>393</v>
      </c>
      <c r="B341" s="3">
        <v>338</v>
      </c>
      <c r="C341" s="3">
        <f t="shared" si="21"/>
        <v>675</v>
      </c>
      <c r="D341" s="3">
        <f t="shared" si="22"/>
        <v>676</v>
      </c>
      <c r="E341" s="3" t="str">
        <f t="shared" si="20"/>
        <v>dump:3121007073&amp;1221007073</v>
      </c>
      <c r="F341" s="3" t="str">
        <f t="shared" si="23"/>
        <v>哑资源设备_338</v>
      </c>
      <c r="G341" s="10" t="s">
        <v>406</v>
      </c>
      <c r="H341" s="3" t="str">
        <f>"检测机架"&amp;INDEX([1]机架!$D:$D,C341+3)&amp;IF(D341&lt;&gt;"","和"&amp;INDEX([1]机架!$D:$D,D341+3),"")&amp;"的数据"</f>
        <v>检测机架潍坊河西局の机架-12和潍坊河西局の机架-13的数据</v>
      </c>
      <c r="I341" s="3">
        <f>INDEX([1]机架!$C:$C,C341+3)</f>
        <v>3707001213</v>
      </c>
      <c r="J341" s="3">
        <f>IF(D341&lt;&gt;"",INDEX([1]机架!$C:$C,D341+3),0)</f>
        <v>3707001221</v>
      </c>
    </row>
    <row r="342" spans="1:10" ht="16.5" x14ac:dyDescent="0.2">
      <c r="A342" s="3" t="s">
        <v>393</v>
      </c>
      <c r="B342" s="3">
        <v>339</v>
      </c>
      <c r="C342" s="3">
        <f t="shared" si="21"/>
        <v>677</v>
      </c>
      <c r="D342" s="3">
        <f t="shared" si="22"/>
        <v>678</v>
      </c>
      <c r="E342" s="3" t="str">
        <f t="shared" si="20"/>
        <v>dump:2221007073&amp;3221007073</v>
      </c>
      <c r="F342" s="3" t="str">
        <f t="shared" si="23"/>
        <v>哑资源设备_339</v>
      </c>
      <c r="G342" s="10" t="s">
        <v>406</v>
      </c>
      <c r="H342" s="3" t="str">
        <f>"检测机架"&amp;INDEX([1]机架!$D:$D,C342+3)&amp;IF(D342&lt;&gt;"","和"&amp;INDEX([1]机架!$D:$D,D342+3),"")&amp;"的数据"</f>
        <v>检测机架潍坊河西局の机架-14和潍坊河西局の机架-15的数据</v>
      </c>
      <c r="I342" s="3">
        <f>INDEX([1]机架!$C:$C,C342+3)</f>
        <v>3707001222</v>
      </c>
      <c r="J342" s="3">
        <f>IF(D342&lt;&gt;"",INDEX([1]机架!$C:$C,D342+3),0)</f>
        <v>3707001223</v>
      </c>
    </row>
    <row r="343" spans="1:10" ht="16.5" x14ac:dyDescent="0.2">
      <c r="A343" s="3" t="s">
        <v>393</v>
      </c>
      <c r="B343" s="3">
        <v>340</v>
      </c>
      <c r="C343" s="3">
        <f t="shared" si="21"/>
        <v>679</v>
      </c>
      <c r="D343" s="3">
        <f t="shared" si="22"/>
        <v>680</v>
      </c>
      <c r="E343" s="3" t="str">
        <f t="shared" si="20"/>
        <v>dump:1321007073&amp;2321007073</v>
      </c>
      <c r="F343" s="3" t="str">
        <f t="shared" si="23"/>
        <v>哑资源设备_340</v>
      </c>
      <c r="G343" s="10" t="s">
        <v>406</v>
      </c>
      <c r="H343" s="3" t="str">
        <f>"检测机架"&amp;INDEX([1]机架!$D:$D,C343+3)&amp;IF(D343&lt;&gt;"","和"&amp;INDEX([1]机架!$D:$D,D343+3),"")&amp;"的数据"</f>
        <v>检测机架潍坊河西局の机架-16和潍坊河西局の机架-17的数据</v>
      </c>
      <c r="I343" s="3">
        <f>INDEX([1]机架!$C:$C,C343+3)</f>
        <v>3707001231</v>
      </c>
      <c r="J343" s="3">
        <f>IF(D343&lt;&gt;"",INDEX([1]机架!$C:$C,D343+3),0)</f>
        <v>3707001232</v>
      </c>
    </row>
    <row r="344" spans="1:10" ht="16.5" x14ac:dyDescent="0.2">
      <c r="A344" s="3" t="s">
        <v>393</v>
      </c>
      <c r="B344" s="3">
        <v>341</v>
      </c>
      <c r="C344" s="3">
        <f t="shared" si="21"/>
        <v>681</v>
      </c>
      <c r="D344" s="3">
        <f t="shared" si="22"/>
        <v>682</v>
      </c>
      <c r="E344" s="3" t="str">
        <f t="shared" si="20"/>
        <v>dump:3321007073&amp;1112007073</v>
      </c>
      <c r="F344" s="3" t="str">
        <f t="shared" si="23"/>
        <v>哑资源设备_341</v>
      </c>
      <c r="G344" s="10" t="s">
        <v>406</v>
      </c>
      <c r="H344" s="3" t="str">
        <f>"检测机架"&amp;INDEX([1]机架!$D:$D,C344+3)&amp;IF(D344&lt;&gt;"","和"&amp;INDEX([1]机架!$D:$D,D344+3),"")&amp;"的数据"</f>
        <v>检测机架潍坊河西局の机架-18和潍坊四平路の机架-1的数据</v>
      </c>
      <c r="I344" s="3">
        <f>INDEX([1]机架!$C:$C,C344+3)</f>
        <v>3707001233</v>
      </c>
      <c r="J344" s="3">
        <f>IF(D344&lt;&gt;"",INDEX([1]机架!$C:$C,D344+3),0)</f>
        <v>3707002111</v>
      </c>
    </row>
    <row r="345" spans="1:10" ht="16.5" x14ac:dyDescent="0.2">
      <c r="A345" s="3" t="s">
        <v>393</v>
      </c>
      <c r="B345" s="3">
        <v>342</v>
      </c>
      <c r="C345" s="3">
        <f t="shared" si="21"/>
        <v>683</v>
      </c>
      <c r="D345" s="3">
        <f t="shared" si="22"/>
        <v>684</v>
      </c>
      <c r="E345" s="3" t="str">
        <f t="shared" si="20"/>
        <v>dump:2112007073&amp;3112007073</v>
      </c>
      <c r="F345" s="3" t="str">
        <f t="shared" si="23"/>
        <v>哑资源设备_342</v>
      </c>
      <c r="G345" s="10" t="s">
        <v>406</v>
      </c>
      <c r="H345" s="3" t="str">
        <f>"检测机架"&amp;INDEX([1]机架!$D:$D,C345+3)&amp;IF(D345&lt;&gt;"","和"&amp;INDEX([1]机架!$D:$D,D345+3),"")&amp;"的数据"</f>
        <v>检测机架潍坊四平路の机架-2和潍坊四平路の机架-3的数据</v>
      </c>
      <c r="I345" s="3">
        <f>INDEX([1]机架!$C:$C,C345+3)</f>
        <v>3707002112</v>
      </c>
      <c r="J345" s="3">
        <f>IF(D345&lt;&gt;"",INDEX([1]机架!$C:$C,D345+3),0)</f>
        <v>3707002113</v>
      </c>
    </row>
    <row r="346" spans="1:10" ht="16.5" x14ac:dyDescent="0.2">
      <c r="A346" s="3" t="s">
        <v>393</v>
      </c>
      <c r="B346" s="3">
        <v>343</v>
      </c>
      <c r="C346" s="3">
        <f t="shared" si="21"/>
        <v>685</v>
      </c>
      <c r="D346" s="3">
        <f t="shared" si="22"/>
        <v>686</v>
      </c>
      <c r="E346" s="3" t="str">
        <f t="shared" si="20"/>
        <v>dump:1212007073&amp;2212007073</v>
      </c>
      <c r="F346" s="3" t="str">
        <f t="shared" si="23"/>
        <v>哑资源设备_343</v>
      </c>
      <c r="G346" s="10" t="s">
        <v>406</v>
      </c>
      <c r="H346" s="3" t="str">
        <f>"检测机架"&amp;INDEX([1]机架!$D:$D,C346+3)&amp;IF(D346&lt;&gt;"","和"&amp;INDEX([1]机架!$D:$D,D346+3),"")&amp;"的数据"</f>
        <v>检测机架潍坊四平路の机架-4和潍坊四平路の机架-5的数据</v>
      </c>
      <c r="I346" s="3">
        <f>INDEX([1]机架!$C:$C,C346+3)</f>
        <v>3707002121</v>
      </c>
      <c r="J346" s="3">
        <f>IF(D346&lt;&gt;"",INDEX([1]机架!$C:$C,D346+3),0)</f>
        <v>3707002122</v>
      </c>
    </row>
    <row r="347" spans="1:10" ht="16.5" x14ac:dyDescent="0.2">
      <c r="A347" s="3" t="s">
        <v>393</v>
      </c>
      <c r="B347" s="3">
        <v>344</v>
      </c>
      <c r="C347" s="3">
        <f t="shared" si="21"/>
        <v>687</v>
      </c>
      <c r="D347" s="3">
        <f t="shared" si="22"/>
        <v>688</v>
      </c>
      <c r="E347" s="3" t="str">
        <f t="shared" si="20"/>
        <v>dump:3212007073&amp;1312007073</v>
      </c>
      <c r="F347" s="3" t="str">
        <f t="shared" si="23"/>
        <v>哑资源设备_344</v>
      </c>
      <c r="G347" s="10" t="s">
        <v>406</v>
      </c>
      <c r="H347" s="3" t="str">
        <f>"检测机架"&amp;INDEX([1]机架!$D:$D,C347+3)&amp;IF(D347&lt;&gt;"","和"&amp;INDEX([1]机架!$D:$D,D347+3),"")&amp;"的数据"</f>
        <v>检测机架潍坊四平路の机架-6和潍坊四平路の机架-7的数据</v>
      </c>
      <c r="I347" s="3">
        <f>INDEX([1]机架!$C:$C,C347+3)</f>
        <v>3707002123</v>
      </c>
      <c r="J347" s="3">
        <f>IF(D347&lt;&gt;"",INDEX([1]机架!$C:$C,D347+3),0)</f>
        <v>3707002131</v>
      </c>
    </row>
    <row r="348" spans="1:10" ht="16.5" x14ac:dyDescent="0.2">
      <c r="A348" s="3" t="s">
        <v>393</v>
      </c>
      <c r="B348" s="3">
        <v>345</v>
      </c>
      <c r="C348" s="3">
        <f t="shared" si="21"/>
        <v>689</v>
      </c>
      <c r="D348" s="3">
        <f t="shared" si="22"/>
        <v>690</v>
      </c>
      <c r="E348" s="3" t="str">
        <f t="shared" si="20"/>
        <v>dump:2312007073&amp;3312007073</v>
      </c>
      <c r="F348" s="3" t="str">
        <f t="shared" si="23"/>
        <v>哑资源设备_345</v>
      </c>
      <c r="G348" s="10" t="s">
        <v>406</v>
      </c>
      <c r="H348" s="3" t="str">
        <f>"检测机架"&amp;INDEX([1]机架!$D:$D,C348+3)&amp;IF(D348&lt;&gt;"","和"&amp;INDEX([1]机架!$D:$D,D348+3),"")&amp;"的数据"</f>
        <v>检测机架潍坊四平路の机架-8和潍坊四平路の机架-9的数据</v>
      </c>
      <c r="I348" s="3">
        <f>INDEX([1]机架!$C:$C,C348+3)</f>
        <v>3707002132</v>
      </c>
      <c r="J348" s="3">
        <f>IF(D348&lt;&gt;"",INDEX([1]机架!$C:$C,D348+3),0)</f>
        <v>3707002133</v>
      </c>
    </row>
    <row r="349" spans="1:10" ht="16.5" x14ac:dyDescent="0.2">
      <c r="A349" s="3" t="s">
        <v>393</v>
      </c>
      <c r="B349" s="3">
        <v>346</v>
      </c>
      <c r="C349" s="3">
        <f t="shared" si="21"/>
        <v>691</v>
      </c>
      <c r="D349" s="3">
        <f t="shared" si="22"/>
        <v>692</v>
      </c>
      <c r="E349" s="3" t="str">
        <f t="shared" si="20"/>
        <v>dump:1113007073&amp;2113007073</v>
      </c>
      <c r="F349" s="3" t="str">
        <f t="shared" si="23"/>
        <v>哑资源设备_346</v>
      </c>
      <c r="G349" s="10" t="s">
        <v>406</v>
      </c>
      <c r="H349" s="3" t="str">
        <f>"检测机架"&amp;INDEX([1]机架!$D:$D,C349+3)&amp;IF(D349&lt;&gt;"","和"&amp;INDEX([1]机架!$D:$D,D349+3),"")&amp;"的数据"</f>
        <v>检测机架潍坊东方路の机架-1和潍坊东方路の机架-2的数据</v>
      </c>
      <c r="I349" s="3">
        <f>INDEX([1]机架!$C:$C,C349+3)</f>
        <v>3707003111</v>
      </c>
      <c r="J349" s="3">
        <f>IF(D349&lt;&gt;"",INDEX([1]机架!$C:$C,D349+3),0)</f>
        <v>3707003112</v>
      </c>
    </row>
    <row r="350" spans="1:10" ht="16.5" x14ac:dyDescent="0.2">
      <c r="A350" s="3" t="s">
        <v>393</v>
      </c>
      <c r="B350" s="3">
        <v>347</v>
      </c>
      <c r="C350" s="3">
        <f t="shared" si="21"/>
        <v>693</v>
      </c>
      <c r="D350" s="3">
        <f t="shared" si="22"/>
        <v>694</v>
      </c>
      <c r="E350" s="3" t="str">
        <f t="shared" si="20"/>
        <v>dump:3113007073&amp;1213007073</v>
      </c>
      <c r="F350" s="3" t="str">
        <f t="shared" si="23"/>
        <v>哑资源设备_347</v>
      </c>
      <c r="G350" s="10" t="s">
        <v>406</v>
      </c>
      <c r="H350" s="3" t="str">
        <f>"检测机架"&amp;INDEX([1]机架!$D:$D,C350+3)&amp;IF(D350&lt;&gt;"","和"&amp;INDEX([1]机架!$D:$D,D350+3),"")&amp;"的数据"</f>
        <v>检测机架潍坊东方路の机架-3和潍坊东方路の机架-4的数据</v>
      </c>
      <c r="I350" s="3">
        <f>INDEX([1]机架!$C:$C,C350+3)</f>
        <v>3707003113</v>
      </c>
      <c r="J350" s="3">
        <f>IF(D350&lt;&gt;"",INDEX([1]机架!$C:$C,D350+3),0)</f>
        <v>3707003121</v>
      </c>
    </row>
    <row r="351" spans="1:10" ht="16.5" x14ac:dyDescent="0.2">
      <c r="A351" s="3" t="s">
        <v>393</v>
      </c>
      <c r="B351" s="3">
        <v>348</v>
      </c>
      <c r="C351" s="3">
        <f t="shared" si="21"/>
        <v>695</v>
      </c>
      <c r="D351" s="3">
        <f t="shared" si="22"/>
        <v>696</v>
      </c>
      <c r="E351" s="3" t="str">
        <f t="shared" si="20"/>
        <v>dump:2213007073&amp;3213007073</v>
      </c>
      <c r="F351" s="3" t="str">
        <f t="shared" si="23"/>
        <v>哑资源设备_348</v>
      </c>
      <c r="G351" s="10" t="s">
        <v>406</v>
      </c>
      <c r="H351" s="3" t="str">
        <f>"检测机架"&amp;INDEX([1]机架!$D:$D,C351+3)&amp;IF(D351&lt;&gt;"","和"&amp;INDEX([1]机架!$D:$D,D351+3),"")&amp;"的数据"</f>
        <v>检测机架潍坊东方路の机架-5和潍坊东方路の机架-6的数据</v>
      </c>
      <c r="I351" s="3">
        <f>INDEX([1]机架!$C:$C,C351+3)</f>
        <v>3707003122</v>
      </c>
      <c r="J351" s="3">
        <f>IF(D351&lt;&gt;"",INDEX([1]机架!$C:$C,D351+3),0)</f>
        <v>3707003123</v>
      </c>
    </row>
    <row r="352" spans="1:10" ht="16.5" x14ac:dyDescent="0.2">
      <c r="A352" s="3" t="s">
        <v>393</v>
      </c>
      <c r="B352" s="3">
        <v>349</v>
      </c>
      <c r="C352" s="3">
        <f t="shared" si="21"/>
        <v>697</v>
      </c>
      <c r="D352" s="3">
        <f t="shared" si="22"/>
        <v>698</v>
      </c>
      <c r="E352" s="3" t="str">
        <f t="shared" si="20"/>
        <v>dump:1313007073&amp;2313007073</v>
      </c>
      <c r="F352" s="3" t="str">
        <f t="shared" si="23"/>
        <v>哑资源设备_349</v>
      </c>
      <c r="G352" s="10" t="s">
        <v>406</v>
      </c>
      <c r="H352" s="3" t="str">
        <f>"检测机架"&amp;INDEX([1]机架!$D:$D,C352+3)&amp;IF(D352&lt;&gt;"","和"&amp;INDEX([1]机架!$D:$D,D352+3),"")&amp;"的数据"</f>
        <v>检测机架潍坊东方路の机架-7和潍坊东方路の机架-8的数据</v>
      </c>
      <c r="I352" s="3">
        <f>INDEX([1]机架!$C:$C,C352+3)</f>
        <v>3707003131</v>
      </c>
      <c r="J352" s="3">
        <f>IF(D352&lt;&gt;"",INDEX([1]机架!$C:$C,D352+3),0)</f>
        <v>3707003132</v>
      </c>
    </row>
    <row r="353" spans="1:10" ht="16.5" x14ac:dyDescent="0.2">
      <c r="A353" s="3" t="s">
        <v>393</v>
      </c>
      <c r="B353" s="3">
        <v>350</v>
      </c>
      <c r="C353" s="3">
        <f t="shared" si="21"/>
        <v>699</v>
      </c>
      <c r="D353" s="3">
        <f t="shared" si="22"/>
        <v>700</v>
      </c>
      <c r="E353" s="3" t="str">
        <f t="shared" si="20"/>
        <v>dump:3313007073&amp;1114007073</v>
      </c>
      <c r="F353" s="3" t="str">
        <f t="shared" si="23"/>
        <v>哑资源设备_350</v>
      </c>
      <c r="G353" s="10" t="s">
        <v>406</v>
      </c>
      <c r="H353" s="3" t="str">
        <f>"检测机架"&amp;INDEX([1]机架!$D:$D,C353+3)&amp;IF(D353&lt;&gt;"","和"&amp;INDEX([1]机架!$D:$D,D353+3),"")&amp;"的数据"</f>
        <v>检测机架潍坊东方路の机架-9和寿光营里の机架-1的数据</v>
      </c>
      <c r="I353" s="3">
        <f>INDEX([1]机架!$C:$C,C353+3)</f>
        <v>3707003133</v>
      </c>
      <c r="J353" s="3">
        <f>IF(D353&lt;&gt;"",INDEX([1]机架!$C:$C,D353+3),0)</f>
        <v>3707004111</v>
      </c>
    </row>
    <row r="354" spans="1:10" ht="16.5" x14ac:dyDescent="0.2">
      <c r="A354" s="3" t="s">
        <v>393</v>
      </c>
      <c r="B354" s="3">
        <v>351</v>
      </c>
      <c r="C354" s="3">
        <f t="shared" si="21"/>
        <v>701</v>
      </c>
      <c r="D354" s="3">
        <f t="shared" si="22"/>
        <v>702</v>
      </c>
      <c r="E354" s="3" t="str">
        <f t="shared" si="20"/>
        <v>dump:2114007073&amp;3114007073</v>
      </c>
      <c r="F354" s="3" t="str">
        <f t="shared" si="23"/>
        <v>哑资源设备_351</v>
      </c>
      <c r="G354" s="10" t="s">
        <v>406</v>
      </c>
      <c r="H354" s="3" t="str">
        <f>"检测机架"&amp;INDEX([1]机架!$D:$D,C354+3)&amp;IF(D354&lt;&gt;"","和"&amp;INDEX([1]机架!$D:$D,D354+3),"")&amp;"的数据"</f>
        <v>检测机架寿光营里の机架-2和寿光营里の机架-3的数据</v>
      </c>
      <c r="I354" s="3">
        <f>INDEX([1]机架!$C:$C,C354+3)</f>
        <v>3707004112</v>
      </c>
      <c r="J354" s="3">
        <f>IF(D354&lt;&gt;"",INDEX([1]机架!$C:$C,D354+3),0)</f>
        <v>3707004113</v>
      </c>
    </row>
    <row r="355" spans="1:10" ht="16.5" x14ac:dyDescent="0.2">
      <c r="A355" s="3" t="s">
        <v>393</v>
      </c>
      <c r="B355" s="3">
        <v>352</v>
      </c>
      <c r="C355" s="3">
        <f t="shared" si="21"/>
        <v>703</v>
      </c>
      <c r="D355" s="3">
        <f t="shared" si="22"/>
        <v>704</v>
      </c>
      <c r="E355" s="3" t="str">
        <f t="shared" si="20"/>
        <v>dump:1214007073&amp;2214007073</v>
      </c>
      <c r="F355" s="3" t="str">
        <f t="shared" si="23"/>
        <v>哑资源设备_352</v>
      </c>
      <c r="G355" s="10" t="s">
        <v>406</v>
      </c>
      <c r="H355" s="3" t="str">
        <f>"检测机架"&amp;INDEX([1]机架!$D:$D,C355+3)&amp;IF(D355&lt;&gt;"","和"&amp;INDEX([1]机架!$D:$D,D355+3),"")&amp;"的数据"</f>
        <v>检测机架寿光营里の机架-4和寿光营里の机架-5的数据</v>
      </c>
      <c r="I355" s="3">
        <f>INDEX([1]机架!$C:$C,C355+3)</f>
        <v>3707004121</v>
      </c>
      <c r="J355" s="3">
        <f>IF(D355&lt;&gt;"",INDEX([1]机架!$C:$C,D355+3),0)</f>
        <v>3707004122</v>
      </c>
    </row>
    <row r="356" spans="1:10" ht="16.5" x14ac:dyDescent="0.2">
      <c r="A356" s="3" t="s">
        <v>393</v>
      </c>
      <c r="B356" s="3">
        <v>353</v>
      </c>
      <c r="C356" s="3">
        <f t="shared" si="21"/>
        <v>705</v>
      </c>
      <c r="D356" s="3">
        <f t="shared" si="22"/>
        <v>706</v>
      </c>
      <c r="E356" s="3" t="str">
        <f t="shared" si="20"/>
        <v>dump:3214007073&amp;1314007073</v>
      </c>
      <c r="F356" s="3" t="str">
        <f t="shared" si="23"/>
        <v>哑资源设备_353</v>
      </c>
      <c r="G356" s="10" t="s">
        <v>406</v>
      </c>
      <c r="H356" s="3" t="str">
        <f>"检测机架"&amp;INDEX([1]机架!$D:$D,C356+3)&amp;IF(D356&lt;&gt;"","和"&amp;INDEX([1]机架!$D:$D,D356+3),"")&amp;"的数据"</f>
        <v>检测机架寿光营里の机架-6和寿光营里の机架-7的数据</v>
      </c>
      <c r="I356" s="3">
        <f>INDEX([1]机架!$C:$C,C356+3)</f>
        <v>3707004123</v>
      </c>
      <c r="J356" s="3">
        <f>IF(D356&lt;&gt;"",INDEX([1]机架!$C:$C,D356+3),0)</f>
        <v>3707004131</v>
      </c>
    </row>
    <row r="357" spans="1:10" ht="16.5" x14ac:dyDescent="0.2">
      <c r="A357" s="3" t="s">
        <v>393</v>
      </c>
      <c r="B357" s="3">
        <v>354</v>
      </c>
      <c r="C357" s="3">
        <f t="shared" si="21"/>
        <v>707</v>
      </c>
      <c r="D357" s="3">
        <f t="shared" si="22"/>
        <v>708</v>
      </c>
      <c r="E357" s="3" t="str">
        <f t="shared" si="20"/>
        <v>dump:2314007073&amp;3314007073</v>
      </c>
      <c r="F357" s="3" t="str">
        <f t="shared" si="23"/>
        <v>哑资源设备_354</v>
      </c>
      <c r="G357" s="10" t="s">
        <v>406</v>
      </c>
      <c r="H357" s="3" t="str">
        <f>"检测机架"&amp;INDEX([1]机架!$D:$D,C357+3)&amp;IF(D357&lt;&gt;"","和"&amp;INDEX([1]机架!$D:$D,D357+3),"")&amp;"的数据"</f>
        <v>检测机架寿光营里の机架-8和寿光营里の机架-9的数据</v>
      </c>
      <c r="I357" s="3">
        <f>INDEX([1]机架!$C:$C,C357+3)</f>
        <v>3707004132</v>
      </c>
      <c r="J357" s="3">
        <f>IF(D357&lt;&gt;"",INDEX([1]机架!$C:$C,D357+3),0)</f>
        <v>3707004133</v>
      </c>
    </row>
    <row r="358" spans="1:10" ht="16.5" x14ac:dyDescent="0.2">
      <c r="A358" s="3" t="s">
        <v>393</v>
      </c>
      <c r="B358" s="3">
        <v>355</v>
      </c>
      <c r="C358" s="3">
        <f t="shared" si="21"/>
        <v>709</v>
      </c>
      <c r="D358" s="3">
        <f t="shared" si="22"/>
        <v>710</v>
      </c>
      <c r="E358" s="3" t="str">
        <f t="shared" si="20"/>
        <v>dump:1115007073&amp;2115007073</v>
      </c>
      <c r="F358" s="3" t="str">
        <f t="shared" si="23"/>
        <v>哑资源设备_355</v>
      </c>
      <c r="G358" s="10" t="s">
        <v>406</v>
      </c>
      <c r="H358" s="3" t="str">
        <f>"检测机架"&amp;INDEX([1]机架!$D:$D,C358+3)&amp;IF(D358&lt;&gt;"","和"&amp;INDEX([1]机架!$D:$D,D358+3),"")&amp;"的数据"</f>
        <v>检测机架寿光东局の机架-1和寿光东局の机架-2的数据</v>
      </c>
      <c r="I358" s="3">
        <f>INDEX([1]机架!$C:$C,C358+3)</f>
        <v>3707005111</v>
      </c>
      <c r="J358" s="3">
        <f>IF(D358&lt;&gt;"",INDEX([1]机架!$C:$C,D358+3),0)</f>
        <v>3707005112</v>
      </c>
    </row>
    <row r="359" spans="1:10" ht="16.5" x14ac:dyDescent="0.2">
      <c r="A359" s="3" t="s">
        <v>393</v>
      </c>
      <c r="B359" s="3">
        <v>356</v>
      </c>
      <c r="C359" s="3">
        <f t="shared" si="21"/>
        <v>711</v>
      </c>
      <c r="D359" s="3">
        <f t="shared" si="22"/>
        <v>712</v>
      </c>
      <c r="E359" s="3" t="str">
        <f t="shared" si="20"/>
        <v>dump:3115007073&amp;1215007073</v>
      </c>
      <c r="F359" s="3" t="str">
        <f t="shared" si="23"/>
        <v>哑资源设备_356</v>
      </c>
      <c r="G359" s="10" t="s">
        <v>406</v>
      </c>
      <c r="H359" s="3" t="str">
        <f>"检测机架"&amp;INDEX([1]机架!$D:$D,C359+3)&amp;IF(D359&lt;&gt;"","和"&amp;INDEX([1]机架!$D:$D,D359+3),"")&amp;"的数据"</f>
        <v>检测机架寿光东局の机架-3和寿光东局の机架-4的数据</v>
      </c>
      <c r="I359" s="3">
        <f>INDEX([1]机架!$C:$C,C359+3)</f>
        <v>3707005113</v>
      </c>
      <c r="J359" s="3">
        <f>IF(D359&lt;&gt;"",INDEX([1]机架!$C:$C,D359+3),0)</f>
        <v>3707005121</v>
      </c>
    </row>
    <row r="360" spans="1:10" ht="16.5" x14ac:dyDescent="0.2">
      <c r="A360" s="3" t="s">
        <v>393</v>
      </c>
      <c r="B360" s="3">
        <v>357</v>
      </c>
      <c r="C360" s="3">
        <f t="shared" si="21"/>
        <v>713</v>
      </c>
      <c r="D360" s="3">
        <f t="shared" si="22"/>
        <v>714</v>
      </c>
      <c r="E360" s="3" t="str">
        <f t="shared" si="20"/>
        <v>dump:2215007073&amp;3215007073</v>
      </c>
      <c r="F360" s="3" t="str">
        <f t="shared" si="23"/>
        <v>哑资源设备_357</v>
      </c>
      <c r="G360" s="10" t="s">
        <v>406</v>
      </c>
      <c r="H360" s="3" t="str">
        <f>"检测机架"&amp;INDEX([1]机架!$D:$D,C360+3)&amp;IF(D360&lt;&gt;"","和"&amp;INDEX([1]机架!$D:$D,D360+3),"")&amp;"的数据"</f>
        <v>检测机架寿光东局の机架-5和寿光东局の机架-6的数据</v>
      </c>
      <c r="I360" s="3">
        <f>INDEX([1]机架!$C:$C,C360+3)</f>
        <v>3707005122</v>
      </c>
      <c r="J360" s="3">
        <f>IF(D360&lt;&gt;"",INDEX([1]机架!$C:$C,D360+3),0)</f>
        <v>3707005123</v>
      </c>
    </row>
    <row r="361" spans="1:10" ht="16.5" x14ac:dyDescent="0.2">
      <c r="A361" s="3" t="s">
        <v>393</v>
      </c>
      <c r="B361" s="3">
        <v>358</v>
      </c>
      <c r="C361" s="3">
        <f t="shared" si="21"/>
        <v>715</v>
      </c>
      <c r="D361" s="3">
        <f t="shared" si="22"/>
        <v>716</v>
      </c>
      <c r="E361" s="3" t="str">
        <f t="shared" si="20"/>
        <v>dump:1315007073&amp;2315007073</v>
      </c>
      <c r="F361" s="3" t="str">
        <f t="shared" si="23"/>
        <v>哑资源设备_358</v>
      </c>
      <c r="G361" s="10" t="s">
        <v>406</v>
      </c>
      <c r="H361" s="3" t="str">
        <f>"检测机架"&amp;INDEX([1]机架!$D:$D,C361+3)&amp;IF(D361&lt;&gt;"","和"&amp;INDEX([1]机架!$D:$D,D361+3),"")&amp;"的数据"</f>
        <v>检测机架寿光东局の机架-7和寿光东局の机架-8的数据</v>
      </c>
      <c r="I361" s="3">
        <f>INDEX([1]机架!$C:$C,C361+3)</f>
        <v>3707005131</v>
      </c>
      <c r="J361" s="3">
        <f>IF(D361&lt;&gt;"",INDEX([1]机架!$C:$C,D361+3),0)</f>
        <v>3707005132</v>
      </c>
    </row>
    <row r="362" spans="1:10" ht="16.5" x14ac:dyDescent="0.2">
      <c r="A362" s="3" t="s">
        <v>393</v>
      </c>
      <c r="B362" s="3">
        <v>359</v>
      </c>
      <c r="C362" s="3">
        <f t="shared" si="21"/>
        <v>717</v>
      </c>
      <c r="D362" s="3">
        <f t="shared" si="22"/>
        <v>718</v>
      </c>
      <c r="E362" s="3" t="str">
        <f t="shared" si="20"/>
        <v>dump:3315007073&amp;1116007073</v>
      </c>
      <c r="F362" s="3" t="str">
        <f t="shared" si="23"/>
        <v>哑资源设备_359</v>
      </c>
      <c r="G362" s="10" t="s">
        <v>406</v>
      </c>
      <c r="H362" s="3" t="str">
        <f>"检测机架"&amp;INDEX([1]机架!$D:$D,C362+3)&amp;IF(D362&lt;&gt;"","和"&amp;INDEX([1]机架!$D:$D,D362+3),"")&amp;"的数据"</f>
        <v>检测机架寿光东局の机架-9和昌邑青乡の机架-1的数据</v>
      </c>
      <c r="I362" s="3">
        <f>INDEX([1]机架!$C:$C,C362+3)</f>
        <v>3707005133</v>
      </c>
      <c r="J362" s="3">
        <f>IF(D362&lt;&gt;"",INDEX([1]机架!$C:$C,D362+3),0)</f>
        <v>3707006111</v>
      </c>
    </row>
    <row r="363" spans="1:10" ht="16.5" x14ac:dyDescent="0.2">
      <c r="A363" s="3" t="s">
        <v>393</v>
      </c>
      <c r="B363" s="3">
        <v>360</v>
      </c>
      <c r="C363" s="3">
        <f t="shared" si="21"/>
        <v>719</v>
      </c>
      <c r="D363" s="3">
        <f t="shared" si="22"/>
        <v>720</v>
      </c>
      <c r="E363" s="3" t="str">
        <f t="shared" si="20"/>
        <v>dump:2116007073&amp;3116007073</v>
      </c>
      <c r="F363" s="3" t="str">
        <f t="shared" si="23"/>
        <v>哑资源设备_360</v>
      </c>
      <c r="G363" s="10" t="s">
        <v>406</v>
      </c>
      <c r="H363" s="3" t="str">
        <f>"检测机架"&amp;INDEX([1]机架!$D:$D,C363+3)&amp;IF(D363&lt;&gt;"","和"&amp;INDEX([1]机架!$D:$D,D363+3),"")&amp;"的数据"</f>
        <v>检测机架昌邑青乡の机架-2和昌邑青乡の机架-3的数据</v>
      </c>
      <c r="I363" s="3">
        <f>INDEX([1]机架!$C:$C,C363+3)</f>
        <v>3707006112</v>
      </c>
      <c r="J363" s="3">
        <f>IF(D363&lt;&gt;"",INDEX([1]机架!$C:$C,D363+3),0)</f>
        <v>3707006113</v>
      </c>
    </row>
    <row r="364" spans="1:10" ht="16.5" x14ac:dyDescent="0.2">
      <c r="A364" s="3" t="s">
        <v>393</v>
      </c>
      <c r="B364" s="3">
        <v>361</v>
      </c>
      <c r="C364" s="3">
        <f t="shared" si="21"/>
        <v>721</v>
      </c>
      <c r="D364" s="3">
        <f t="shared" si="22"/>
        <v>722</v>
      </c>
      <c r="E364" s="3" t="str">
        <f t="shared" si="20"/>
        <v>dump:1216007073&amp;2216007073</v>
      </c>
      <c r="F364" s="3" t="str">
        <f t="shared" si="23"/>
        <v>哑资源设备_361</v>
      </c>
      <c r="G364" s="10" t="s">
        <v>406</v>
      </c>
      <c r="H364" s="3" t="str">
        <f>"检测机架"&amp;INDEX([1]机架!$D:$D,C364+3)&amp;IF(D364&lt;&gt;"","和"&amp;INDEX([1]机架!$D:$D,D364+3),"")&amp;"的数据"</f>
        <v>检测机架昌邑青乡の机架-4和昌邑青乡の机架-5的数据</v>
      </c>
      <c r="I364" s="3">
        <f>INDEX([1]机架!$C:$C,C364+3)</f>
        <v>3707006121</v>
      </c>
      <c r="J364" s="3">
        <f>IF(D364&lt;&gt;"",INDEX([1]机架!$C:$C,D364+3),0)</f>
        <v>3707006122</v>
      </c>
    </row>
    <row r="365" spans="1:10" ht="16.5" x14ac:dyDescent="0.2">
      <c r="A365" s="3" t="s">
        <v>393</v>
      </c>
      <c r="B365" s="3">
        <v>362</v>
      </c>
      <c r="C365" s="3">
        <f t="shared" si="21"/>
        <v>723</v>
      </c>
      <c r="D365" s="3">
        <f t="shared" si="22"/>
        <v>724</v>
      </c>
      <c r="E365" s="3" t="str">
        <f t="shared" si="20"/>
        <v>dump:3216007073&amp;1316007073</v>
      </c>
      <c r="F365" s="3" t="str">
        <f t="shared" si="23"/>
        <v>哑资源设备_362</v>
      </c>
      <c r="G365" s="10" t="s">
        <v>406</v>
      </c>
      <c r="H365" s="3" t="str">
        <f>"检测机架"&amp;INDEX([1]机架!$D:$D,C365+3)&amp;IF(D365&lt;&gt;"","和"&amp;INDEX([1]机架!$D:$D,D365+3),"")&amp;"的数据"</f>
        <v>检测机架昌邑青乡の机架-6和昌邑青乡の机架-7的数据</v>
      </c>
      <c r="I365" s="3">
        <f>INDEX([1]机架!$C:$C,C365+3)</f>
        <v>3707006123</v>
      </c>
      <c r="J365" s="3">
        <f>IF(D365&lt;&gt;"",INDEX([1]机架!$C:$C,D365+3),0)</f>
        <v>3707006131</v>
      </c>
    </row>
    <row r="366" spans="1:10" ht="16.5" x14ac:dyDescent="0.2">
      <c r="A366" s="3" t="s">
        <v>393</v>
      </c>
      <c r="B366" s="3">
        <v>363</v>
      </c>
      <c r="C366" s="3">
        <f t="shared" si="21"/>
        <v>725</v>
      </c>
      <c r="D366" s="3">
        <f t="shared" si="22"/>
        <v>726</v>
      </c>
      <c r="E366" s="3" t="str">
        <f t="shared" si="20"/>
        <v>dump:2316007073&amp;3316007073</v>
      </c>
      <c r="F366" s="3" t="str">
        <f t="shared" si="23"/>
        <v>哑资源设备_363</v>
      </c>
      <c r="G366" s="10" t="s">
        <v>406</v>
      </c>
      <c r="H366" s="3" t="str">
        <f>"检测机架"&amp;INDEX([1]机架!$D:$D,C366+3)&amp;IF(D366&lt;&gt;"","和"&amp;INDEX([1]机架!$D:$D,D366+3),"")&amp;"的数据"</f>
        <v>检测机架昌邑青乡の机架-8和昌邑青乡の机架-9的数据</v>
      </c>
      <c r="I366" s="3">
        <f>INDEX([1]机架!$C:$C,C366+3)</f>
        <v>3707006132</v>
      </c>
      <c r="J366" s="3">
        <f>IF(D366&lt;&gt;"",INDEX([1]机架!$C:$C,D366+3),0)</f>
        <v>3707006133</v>
      </c>
    </row>
    <row r="367" spans="1:10" ht="16.5" x14ac:dyDescent="0.2">
      <c r="A367" s="3" t="s">
        <v>393</v>
      </c>
      <c r="B367" s="3">
        <v>364</v>
      </c>
      <c r="C367" s="3">
        <f t="shared" si="21"/>
        <v>727</v>
      </c>
      <c r="D367" s="3">
        <f t="shared" si="22"/>
        <v>728</v>
      </c>
      <c r="E367" s="3" t="str">
        <f t="shared" si="20"/>
        <v>dump:1117007073&amp;2117007073</v>
      </c>
      <c r="F367" s="3" t="str">
        <f t="shared" si="23"/>
        <v>哑资源设备_364</v>
      </c>
      <c r="G367" s="10" t="s">
        <v>406</v>
      </c>
      <c r="H367" s="3" t="str">
        <f>"检测机架"&amp;INDEX([1]机架!$D:$D,C367+3)&amp;IF(D367&lt;&gt;"","和"&amp;INDEX([1]机架!$D:$D,D367+3),"")&amp;"的数据"</f>
        <v>检测机架昌邑の机架-1和昌邑の机架-2的数据</v>
      </c>
      <c r="I367" s="3">
        <f>INDEX([1]机架!$C:$C,C367+3)</f>
        <v>3707007111</v>
      </c>
      <c r="J367" s="3">
        <f>IF(D367&lt;&gt;"",INDEX([1]机架!$C:$C,D367+3),0)</f>
        <v>3707007112</v>
      </c>
    </row>
    <row r="368" spans="1:10" ht="16.5" x14ac:dyDescent="0.2">
      <c r="A368" s="3" t="s">
        <v>393</v>
      </c>
      <c r="B368" s="3">
        <v>365</v>
      </c>
      <c r="C368" s="3">
        <f t="shared" si="21"/>
        <v>729</v>
      </c>
      <c r="D368" s="3">
        <f t="shared" si="22"/>
        <v>730</v>
      </c>
      <c r="E368" s="3" t="str">
        <f t="shared" si="20"/>
        <v>dump:3117007073&amp;1217007073</v>
      </c>
      <c r="F368" s="3" t="str">
        <f t="shared" si="23"/>
        <v>哑资源设备_365</v>
      </c>
      <c r="G368" s="10" t="s">
        <v>406</v>
      </c>
      <c r="H368" s="3" t="str">
        <f>"检测机架"&amp;INDEX([1]机架!$D:$D,C368+3)&amp;IF(D368&lt;&gt;"","和"&amp;INDEX([1]机架!$D:$D,D368+3),"")&amp;"的数据"</f>
        <v>检测机架昌邑の机架-3和昌邑の机架-4的数据</v>
      </c>
      <c r="I368" s="3">
        <f>INDEX([1]机架!$C:$C,C368+3)</f>
        <v>3707007113</v>
      </c>
      <c r="J368" s="3">
        <f>IF(D368&lt;&gt;"",INDEX([1]机架!$C:$C,D368+3),0)</f>
        <v>3707007121</v>
      </c>
    </row>
    <row r="369" spans="1:10" ht="16.5" x14ac:dyDescent="0.2">
      <c r="A369" s="3" t="s">
        <v>393</v>
      </c>
      <c r="B369" s="3">
        <v>366</v>
      </c>
      <c r="C369" s="3">
        <f t="shared" si="21"/>
        <v>731</v>
      </c>
      <c r="D369" s="3">
        <f t="shared" si="22"/>
        <v>732</v>
      </c>
      <c r="E369" s="3" t="str">
        <f t="shared" si="20"/>
        <v>dump:2217007073&amp;3217007073</v>
      </c>
      <c r="F369" s="3" t="str">
        <f t="shared" si="23"/>
        <v>哑资源设备_366</v>
      </c>
      <c r="G369" s="10" t="s">
        <v>406</v>
      </c>
      <c r="H369" s="3" t="str">
        <f>"检测机架"&amp;INDEX([1]机架!$D:$D,C369+3)&amp;IF(D369&lt;&gt;"","和"&amp;INDEX([1]机架!$D:$D,D369+3),"")&amp;"的数据"</f>
        <v>检测机架昌邑の机架-5和昌邑の机架-6的数据</v>
      </c>
      <c r="I369" s="3">
        <f>INDEX([1]机架!$C:$C,C369+3)</f>
        <v>3707007122</v>
      </c>
      <c r="J369" s="3">
        <f>IF(D369&lt;&gt;"",INDEX([1]机架!$C:$C,D369+3),0)</f>
        <v>3707007123</v>
      </c>
    </row>
    <row r="370" spans="1:10" ht="16.5" x14ac:dyDescent="0.2">
      <c r="A370" s="3" t="s">
        <v>393</v>
      </c>
      <c r="B370" s="3">
        <v>367</v>
      </c>
      <c r="C370" s="3">
        <f t="shared" si="21"/>
        <v>733</v>
      </c>
      <c r="D370" s="3">
        <f t="shared" si="22"/>
        <v>734</v>
      </c>
      <c r="E370" s="3" t="str">
        <f t="shared" si="20"/>
        <v>dump:1317007073&amp;2317007073</v>
      </c>
      <c r="F370" s="3" t="str">
        <f t="shared" si="23"/>
        <v>哑资源设备_367</v>
      </c>
      <c r="G370" s="10" t="s">
        <v>406</v>
      </c>
      <c r="H370" s="3" t="str">
        <f>"检测机架"&amp;INDEX([1]机架!$D:$D,C370+3)&amp;IF(D370&lt;&gt;"","和"&amp;INDEX([1]机架!$D:$D,D370+3),"")&amp;"的数据"</f>
        <v>检测机架昌邑の机架-7和昌邑の机架-8的数据</v>
      </c>
      <c r="I370" s="3">
        <f>INDEX([1]机架!$C:$C,C370+3)</f>
        <v>3707007131</v>
      </c>
      <c r="J370" s="3">
        <f>IF(D370&lt;&gt;"",INDEX([1]机架!$C:$C,D370+3),0)</f>
        <v>3707007132</v>
      </c>
    </row>
    <row r="371" spans="1:10" ht="16.5" x14ac:dyDescent="0.2">
      <c r="A371" s="3" t="s">
        <v>393</v>
      </c>
      <c r="B371" s="3">
        <v>368</v>
      </c>
      <c r="C371" s="3">
        <f t="shared" si="21"/>
        <v>735</v>
      </c>
      <c r="D371" s="3">
        <f t="shared" si="22"/>
        <v>736</v>
      </c>
      <c r="E371" s="3" t="str">
        <f t="shared" si="20"/>
        <v>dump:3317007073&amp;1118007073</v>
      </c>
      <c r="F371" s="3" t="str">
        <f t="shared" si="23"/>
        <v>哑资源设备_368</v>
      </c>
      <c r="G371" s="10" t="s">
        <v>406</v>
      </c>
      <c r="H371" s="3" t="str">
        <f>"检测机架"&amp;INDEX([1]机架!$D:$D,C371+3)&amp;IF(D371&lt;&gt;"","和"&amp;INDEX([1]机架!$D:$D,D371+3),"")&amp;"的数据"</f>
        <v>检测机架昌邑の机架-9和昌邑饮马の机架-1的数据</v>
      </c>
      <c r="I371" s="3">
        <f>INDEX([1]机架!$C:$C,C371+3)</f>
        <v>3707007133</v>
      </c>
      <c r="J371" s="3">
        <f>IF(D371&lt;&gt;"",INDEX([1]机架!$C:$C,D371+3),0)</f>
        <v>3707008111</v>
      </c>
    </row>
    <row r="372" spans="1:10" ht="16.5" x14ac:dyDescent="0.2">
      <c r="A372" s="3" t="s">
        <v>393</v>
      </c>
      <c r="B372" s="3">
        <v>369</v>
      </c>
      <c r="C372" s="3">
        <f t="shared" si="21"/>
        <v>737</v>
      </c>
      <c r="D372" s="3">
        <f t="shared" si="22"/>
        <v>738</v>
      </c>
      <c r="E372" s="3" t="str">
        <f t="shared" si="20"/>
        <v>dump:2118007073&amp;3118007073</v>
      </c>
      <c r="F372" s="3" t="str">
        <f t="shared" si="23"/>
        <v>哑资源设备_369</v>
      </c>
      <c r="G372" s="10" t="s">
        <v>406</v>
      </c>
      <c r="H372" s="3" t="str">
        <f>"检测机架"&amp;INDEX([1]机架!$D:$D,C372+3)&amp;IF(D372&lt;&gt;"","和"&amp;INDEX([1]机架!$D:$D,D372+3),"")&amp;"的数据"</f>
        <v>检测机架昌邑饮马の机架-2和昌邑饮马の机架-3的数据</v>
      </c>
      <c r="I372" s="3">
        <f>INDEX([1]机架!$C:$C,C372+3)</f>
        <v>3707008112</v>
      </c>
      <c r="J372" s="3">
        <f>IF(D372&lt;&gt;"",INDEX([1]机架!$C:$C,D372+3),0)</f>
        <v>3707008113</v>
      </c>
    </row>
    <row r="373" spans="1:10" ht="16.5" x14ac:dyDescent="0.2">
      <c r="A373" s="3" t="s">
        <v>393</v>
      </c>
      <c r="B373" s="3">
        <v>370</v>
      </c>
      <c r="C373" s="3">
        <f t="shared" si="21"/>
        <v>739</v>
      </c>
      <c r="D373" s="3">
        <f t="shared" si="22"/>
        <v>740</v>
      </c>
      <c r="E373" s="3" t="str">
        <f t="shared" si="20"/>
        <v>dump:1218007073&amp;2218007073</v>
      </c>
      <c r="F373" s="3" t="str">
        <f t="shared" si="23"/>
        <v>哑资源设备_370</v>
      </c>
      <c r="G373" s="10" t="s">
        <v>406</v>
      </c>
      <c r="H373" s="3" t="str">
        <f>"检测机架"&amp;INDEX([1]机架!$D:$D,C373+3)&amp;IF(D373&lt;&gt;"","和"&amp;INDEX([1]机架!$D:$D,D373+3),"")&amp;"的数据"</f>
        <v>检测机架昌邑饮马の机架-4和昌邑饮马の机架-5的数据</v>
      </c>
      <c r="I373" s="3">
        <f>INDEX([1]机架!$C:$C,C373+3)</f>
        <v>3707008121</v>
      </c>
      <c r="J373" s="3">
        <f>IF(D373&lt;&gt;"",INDEX([1]机架!$C:$C,D373+3),0)</f>
        <v>3707008122</v>
      </c>
    </row>
    <row r="374" spans="1:10" ht="16.5" x14ac:dyDescent="0.2">
      <c r="A374" s="3" t="s">
        <v>393</v>
      </c>
      <c r="B374" s="3">
        <v>371</v>
      </c>
      <c r="C374" s="3">
        <f t="shared" si="21"/>
        <v>741</v>
      </c>
      <c r="D374" s="3">
        <f t="shared" si="22"/>
        <v>742</v>
      </c>
      <c r="E374" s="3" t="str">
        <f t="shared" si="20"/>
        <v>dump:3218007073&amp;1318007073</v>
      </c>
      <c r="F374" s="3" t="str">
        <f t="shared" si="23"/>
        <v>哑资源设备_371</v>
      </c>
      <c r="G374" s="10" t="s">
        <v>406</v>
      </c>
      <c r="H374" s="3" t="str">
        <f>"检测机架"&amp;INDEX([1]机架!$D:$D,C374+3)&amp;IF(D374&lt;&gt;"","和"&amp;INDEX([1]机架!$D:$D,D374+3),"")&amp;"的数据"</f>
        <v>检测机架昌邑饮马の机架-6和昌邑饮马の机架-7的数据</v>
      </c>
      <c r="I374" s="3">
        <f>INDEX([1]机架!$C:$C,C374+3)</f>
        <v>3707008123</v>
      </c>
      <c r="J374" s="3">
        <f>IF(D374&lt;&gt;"",INDEX([1]机架!$C:$C,D374+3),0)</f>
        <v>3707008131</v>
      </c>
    </row>
    <row r="375" spans="1:10" ht="16.5" x14ac:dyDescent="0.2">
      <c r="A375" s="3" t="s">
        <v>393</v>
      </c>
      <c r="B375" s="3">
        <v>372</v>
      </c>
      <c r="C375" s="3">
        <f t="shared" si="21"/>
        <v>743</v>
      </c>
      <c r="D375" s="3">
        <f t="shared" si="22"/>
        <v>744</v>
      </c>
      <c r="E375" s="3" t="str">
        <f t="shared" si="20"/>
        <v>dump:2318007073&amp;3318007073</v>
      </c>
      <c r="F375" s="3" t="str">
        <f t="shared" si="23"/>
        <v>哑资源设备_372</v>
      </c>
      <c r="G375" s="10" t="s">
        <v>406</v>
      </c>
      <c r="H375" s="3" t="str">
        <f>"检测机架"&amp;INDEX([1]机架!$D:$D,C375+3)&amp;IF(D375&lt;&gt;"","和"&amp;INDEX([1]机架!$D:$D,D375+3),"")&amp;"的数据"</f>
        <v>检测机架昌邑饮马の机架-8和昌邑饮马の机架-9的数据</v>
      </c>
      <c r="I375" s="3">
        <f>INDEX([1]机架!$C:$C,C375+3)</f>
        <v>3707008132</v>
      </c>
      <c r="J375" s="3">
        <f>IF(D375&lt;&gt;"",INDEX([1]机架!$C:$C,D375+3),0)</f>
        <v>3707008133</v>
      </c>
    </row>
    <row r="376" spans="1:10" ht="16.5" x14ac:dyDescent="0.2">
      <c r="A376" s="3" t="s">
        <v>393</v>
      </c>
      <c r="B376" s="3">
        <v>373</v>
      </c>
      <c r="C376" s="3">
        <f t="shared" si="21"/>
        <v>745</v>
      </c>
      <c r="D376" s="3">
        <f t="shared" si="22"/>
        <v>746</v>
      </c>
      <c r="E376" s="3" t="str">
        <f t="shared" si="20"/>
        <v>dump:1119007073&amp;2119007073</v>
      </c>
      <c r="F376" s="3" t="str">
        <f t="shared" si="23"/>
        <v>哑资源设备_373</v>
      </c>
      <c r="G376" s="10" t="s">
        <v>406</v>
      </c>
      <c r="H376" s="3" t="str">
        <f>"检测机架"&amp;INDEX([1]机架!$D:$D,C376+3)&amp;IF(D376&lt;&gt;"","和"&amp;INDEX([1]机架!$D:$D,D376+3),"")&amp;"的数据"</f>
        <v>检测机架青州高柳の机架-1和青州高柳の机架-2的数据</v>
      </c>
      <c r="I376" s="3">
        <f>INDEX([1]机架!$C:$C,C376+3)</f>
        <v>3707009111</v>
      </c>
      <c r="J376" s="3">
        <f>IF(D376&lt;&gt;"",INDEX([1]机架!$C:$C,D376+3),0)</f>
        <v>3707009112</v>
      </c>
    </row>
    <row r="377" spans="1:10" ht="16.5" x14ac:dyDescent="0.2">
      <c r="A377" s="3" t="s">
        <v>393</v>
      </c>
      <c r="B377" s="3">
        <v>374</v>
      </c>
      <c r="C377" s="3">
        <f t="shared" si="21"/>
        <v>747</v>
      </c>
      <c r="D377" s="3">
        <f t="shared" si="22"/>
        <v>748</v>
      </c>
      <c r="E377" s="3" t="str">
        <f t="shared" si="20"/>
        <v>dump:3119007073&amp;1219007073</v>
      </c>
      <c r="F377" s="3" t="str">
        <f t="shared" si="23"/>
        <v>哑资源设备_374</v>
      </c>
      <c r="G377" s="10" t="s">
        <v>406</v>
      </c>
      <c r="H377" s="3" t="str">
        <f>"检测机架"&amp;INDEX([1]机架!$D:$D,C377+3)&amp;IF(D377&lt;&gt;"","和"&amp;INDEX([1]机架!$D:$D,D377+3),"")&amp;"的数据"</f>
        <v>检测机架青州高柳の机架-3和青州高柳の机架-4的数据</v>
      </c>
      <c r="I377" s="3">
        <f>INDEX([1]机架!$C:$C,C377+3)</f>
        <v>3707009113</v>
      </c>
      <c r="J377" s="3">
        <f>IF(D377&lt;&gt;"",INDEX([1]机架!$C:$C,D377+3),0)</f>
        <v>3707009121</v>
      </c>
    </row>
    <row r="378" spans="1:10" ht="16.5" x14ac:dyDescent="0.2">
      <c r="A378" s="3" t="s">
        <v>393</v>
      </c>
      <c r="B378" s="3">
        <v>375</v>
      </c>
      <c r="C378" s="3">
        <f t="shared" si="21"/>
        <v>749</v>
      </c>
      <c r="D378" s="3">
        <f t="shared" si="22"/>
        <v>750</v>
      </c>
      <c r="E378" s="3" t="str">
        <f t="shared" si="20"/>
        <v>dump:2219007073&amp;3219007073</v>
      </c>
      <c r="F378" s="3" t="str">
        <f t="shared" si="23"/>
        <v>哑资源设备_375</v>
      </c>
      <c r="G378" s="10" t="s">
        <v>406</v>
      </c>
      <c r="H378" s="3" t="str">
        <f>"检测机架"&amp;INDEX([1]机架!$D:$D,C378+3)&amp;IF(D378&lt;&gt;"","和"&amp;INDEX([1]机架!$D:$D,D378+3),"")&amp;"的数据"</f>
        <v>检测机架青州高柳の机架-5和青州高柳の机架-6的数据</v>
      </c>
      <c r="I378" s="3">
        <f>INDEX([1]机架!$C:$C,C378+3)</f>
        <v>3707009122</v>
      </c>
      <c r="J378" s="3">
        <f>IF(D378&lt;&gt;"",INDEX([1]机架!$C:$C,D378+3),0)</f>
        <v>3707009123</v>
      </c>
    </row>
    <row r="379" spans="1:10" ht="16.5" x14ac:dyDescent="0.2">
      <c r="A379" s="3" t="s">
        <v>393</v>
      </c>
      <c r="B379" s="3">
        <v>376</v>
      </c>
      <c r="C379" s="3">
        <f t="shared" si="21"/>
        <v>751</v>
      </c>
      <c r="D379" s="3">
        <f t="shared" si="22"/>
        <v>752</v>
      </c>
      <c r="E379" s="3" t="str">
        <f t="shared" si="20"/>
        <v>dump:1319007073&amp;2319007073</v>
      </c>
      <c r="F379" s="3" t="str">
        <f t="shared" si="23"/>
        <v>哑资源设备_376</v>
      </c>
      <c r="G379" s="10" t="s">
        <v>406</v>
      </c>
      <c r="H379" s="3" t="str">
        <f>"检测机架"&amp;INDEX([1]机架!$D:$D,C379+3)&amp;IF(D379&lt;&gt;"","和"&amp;INDEX([1]机架!$D:$D,D379+3),"")&amp;"的数据"</f>
        <v>检测机架青州高柳の机架-7和青州高柳の机架-8的数据</v>
      </c>
      <c r="I379" s="3">
        <f>INDEX([1]机架!$C:$C,C379+3)</f>
        <v>3707009131</v>
      </c>
      <c r="J379" s="3">
        <f>IF(D379&lt;&gt;"",INDEX([1]机架!$C:$C,D379+3),0)</f>
        <v>3707009132</v>
      </c>
    </row>
    <row r="380" spans="1:10" ht="16.5" x14ac:dyDescent="0.2">
      <c r="A380" s="3" t="s">
        <v>393</v>
      </c>
      <c r="B380" s="3">
        <v>377</v>
      </c>
      <c r="C380" s="3">
        <f t="shared" si="21"/>
        <v>753</v>
      </c>
      <c r="D380" s="3">
        <f t="shared" si="22"/>
        <v>754</v>
      </c>
      <c r="E380" s="3" t="str">
        <f t="shared" si="20"/>
        <v>dump:3319007073&amp;1110107073</v>
      </c>
      <c r="F380" s="3" t="str">
        <f t="shared" si="23"/>
        <v>哑资源设备_377</v>
      </c>
      <c r="G380" s="10" t="s">
        <v>406</v>
      </c>
      <c r="H380" s="3" t="str">
        <f>"检测机架"&amp;INDEX([1]机架!$D:$D,C380+3)&amp;IF(D380&lt;&gt;"","和"&amp;INDEX([1]机架!$D:$D,D380+3),"")&amp;"的数据"</f>
        <v>检测机架青州高柳の机架-9和昌乐南局の机架-1的数据</v>
      </c>
      <c r="I380" s="3">
        <f>INDEX([1]机架!$C:$C,C380+3)</f>
        <v>3707009133</v>
      </c>
      <c r="J380" s="3">
        <f>IF(D380&lt;&gt;"",INDEX([1]机架!$C:$C,D380+3),0)</f>
        <v>3707010111</v>
      </c>
    </row>
    <row r="381" spans="1:10" ht="16.5" x14ac:dyDescent="0.2">
      <c r="A381" s="3" t="s">
        <v>393</v>
      </c>
      <c r="B381" s="3">
        <v>378</v>
      </c>
      <c r="C381" s="3">
        <f t="shared" si="21"/>
        <v>755</v>
      </c>
      <c r="D381" s="3">
        <f t="shared" si="22"/>
        <v>756</v>
      </c>
      <c r="E381" s="3" t="str">
        <f t="shared" si="20"/>
        <v>dump:2110107073&amp;3110107073</v>
      </c>
      <c r="F381" s="3" t="str">
        <f t="shared" si="23"/>
        <v>哑资源设备_378</v>
      </c>
      <c r="G381" s="10" t="s">
        <v>406</v>
      </c>
      <c r="H381" s="3" t="str">
        <f>"检测机架"&amp;INDEX([1]机架!$D:$D,C381+3)&amp;IF(D381&lt;&gt;"","和"&amp;INDEX([1]机架!$D:$D,D381+3),"")&amp;"的数据"</f>
        <v>检测机架昌乐南局の机架-2和昌乐南局の机架-3的数据</v>
      </c>
      <c r="I381" s="3">
        <f>INDEX([1]机架!$C:$C,C381+3)</f>
        <v>3707010112</v>
      </c>
      <c r="J381" s="3">
        <f>IF(D381&lt;&gt;"",INDEX([1]机架!$C:$C,D381+3),0)</f>
        <v>3707010113</v>
      </c>
    </row>
    <row r="382" spans="1:10" ht="16.5" x14ac:dyDescent="0.2">
      <c r="A382" s="3" t="s">
        <v>393</v>
      </c>
      <c r="B382" s="3">
        <v>379</v>
      </c>
      <c r="C382" s="3">
        <f t="shared" si="21"/>
        <v>757</v>
      </c>
      <c r="D382" s="3">
        <f t="shared" si="22"/>
        <v>758</v>
      </c>
      <c r="E382" s="3" t="str">
        <f t="shared" si="20"/>
        <v>dump:1210107073&amp;2210107073</v>
      </c>
      <c r="F382" s="3" t="str">
        <f t="shared" si="23"/>
        <v>哑资源设备_379</v>
      </c>
      <c r="G382" s="10" t="s">
        <v>406</v>
      </c>
      <c r="H382" s="3" t="str">
        <f>"检测机架"&amp;INDEX([1]机架!$D:$D,C382+3)&amp;IF(D382&lt;&gt;"","和"&amp;INDEX([1]机架!$D:$D,D382+3),"")&amp;"的数据"</f>
        <v>检测机架昌乐南局の机架-4和昌乐南局の机架-5的数据</v>
      </c>
      <c r="I382" s="3">
        <f>INDEX([1]机架!$C:$C,C382+3)</f>
        <v>3707010121</v>
      </c>
      <c r="J382" s="3">
        <f>IF(D382&lt;&gt;"",INDEX([1]机架!$C:$C,D382+3),0)</f>
        <v>3707010122</v>
      </c>
    </row>
    <row r="383" spans="1:10" ht="16.5" x14ac:dyDescent="0.2">
      <c r="A383" s="3" t="s">
        <v>393</v>
      </c>
      <c r="B383" s="3">
        <v>380</v>
      </c>
      <c r="C383" s="3">
        <f t="shared" si="21"/>
        <v>759</v>
      </c>
      <c r="D383" s="3">
        <f t="shared" si="22"/>
        <v>760</v>
      </c>
      <c r="E383" s="3" t="str">
        <f t="shared" si="20"/>
        <v>dump:3210107073&amp;1310107073</v>
      </c>
      <c r="F383" s="3" t="str">
        <f t="shared" si="23"/>
        <v>哑资源设备_380</v>
      </c>
      <c r="G383" s="10" t="s">
        <v>406</v>
      </c>
      <c r="H383" s="3" t="str">
        <f>"检测机架"&amp;INDEX([1]机架!$D:$D,C383+3)&amp;IF(D383&lt;&gt;"","和"&amp;INDEX([1]机架!$D:$D,D383+3),"")&amp;"的数据"</f>
        <v>检测机架昌乐南局の机架-6和昌乐南局の机架-7的数据</v>
      </c>
      <c r="I383" s="3">
        <f>INDEX([1]机架!$C:$C,C383+3)</f>
        <v>3707010123</v>
      </c>
      <c r="J383" s="3">
        <f>IF(D383&lt;&gt;"",INDEX([1]机架!$C:$C,D383+3),0)</f>
        <v>3707010131</v>
      </c>
    </row>
    <row r="384" spans="1:10" ht="16.5" x14ac:dyDescent="0.2">
      <c r="A384" s="3" t="s">
        <v>393</v>
      </c>
      <c r="B384" s="3">
        <v>381</v>
      </c>
      <c r="C384" s="3">
        <f t="shared" si="21"/>
        <v>761</v>
      </c>
      <c r="D384" s="3">
        <f t="shared" si="22"/>
        <v>762</v>
      </c>
      <c r="E384" s="3" t="str">
        <f t="shared" si="20"/>
        <v>dump:2310107073&amp;3310107073</v>
      </c>
      <c r="F384" s="3" t="str">
        <f t="shared" si="23"/>
        <v>哑资源设备_381</v>
      </c>
      <c r="G384" s="10" t="s">
        <v>406</v>
      </c>
      <c r="H384" s="3" t="str">
        <f>"检测机架"&amp;INDEX([1]机架!$D:$D,C384+3)&amp;IF(D384&lt;&gt;"","和"&amp;INDEX([1]机架!$D:$D,D384+3),"")&amp;"的数据"</f>
        <v>检测机架昌乐南局の机架-8和昌乐南局の机架-9的数据</v>
      </c>
      <c r="I384" s="3">
        <f>INDEX([1]机架!$C:$C,C384+3)</f>
        <v>3707010132</v>
      </c>
      <c r="J384" s="3">
        <f>IF(D384&lt;&gt;"",INDEX([1]机架!$C:$C,D384+3),0)</f>
        <v>3707010133</v>
      </c>
    </row>
    <row r="385" spans="1:10" ht="16.5" x14ac:dyDescent="0.2">
      <c r="A385" s="3" t="s">
        <v>393</v>
      </c>
      <c r="B385" s="3">
        <v>382</v>
      </c>
      <c r="C385" s="3">
        <f t="shared" si="21"/>
        <v>763</v>
      </c>
      <c r="D385" s="3">
        <f t="shared" si="22"/>
        <v>764</v>
      </c>
      <c r="E385" s="3" t="str">
        <f t="shared" si="20"/>
        <v>dump:1111107073&amp;2111107073</v>
      </c>
      <c r="F385" s="3" t="str">
        <f t="shared" si="23"/>
        <v>哑资源设备_382</v>
      </c>
      <c r="G385" s="10" t="s">
        <v>406</v>
      </c>
      <c r="H385" s="3" t="str">
        <f>"检测机架"&amp;INDEX([1]机架!$D:$D,C385+3)&amp;IF(D385&lt;&gt;"","和"&amp;INDEX([1]机架!$D:$D,D385+3),"")&amp;"的数据"</f>
        <v>检测机架昌乐北局の机架-1和昌乐北局の机架-2的数据</v>
      </c>
      <c r="I385" s="3">
        <f>INDEX([1]机架!$C:$C,C385+3)</f>
        <v>3707011111</v>
      </c>
      <c r="J385" s="3">
        <f>IF(D385&lt;&gt;"",INDEX([1]机架!$C:$C,D385+3),0)</f>
        <v>3707011112</v>
      </c>
    </row>
    <row r="386" spans="1:10" ht="16.5" x14ac:dyDescent="0.2">
      <c r="A386" s="3" t="s">
        <v>393</v>
      </c>
      <c r="B386" s="3">
        <v>383</v>
      </c>
      <c r="C386" s="3">
        <f t="shared" si="21"/>
        <v>765</v>
      </c>
      <c r="D386" s="3">
        <f t="shared" si="22"/>
        <v>766</v>
      </c>
      <c r="E386" s="3" t="str">
        <f t="shared" si="20"/>
        <v>dump:3111107073&amp;1211107073</v>
      </c>
      <c r="F386" s="3" t="str">
        <f t="shared" si="23"/>
        <v>哑资源设备_383</v>
      </c>
      <c r="G386" s="10" t="s">
        <v>406</v>
      </c>
      <c r="H386" s="3" t="str">
        <f>"检测机架"&amp;INDEX([1]机架!$D:$D,C386+3)&amp;IF(D386&lt;&gt;"","和"&amp;INDEX([1]机架!$D:$D,D386+3),"")&amp;"的数据"</f>
        <v>检测机架昌乐北局の机架-3和昌乐北局の机架-4的数据</v>
      </c>
      <c r="I386" s="3">
        <f>INDEX([1]机架!$C:$C,C386+3)</f>
        <v>3707011113</v>
      </c>
      <c r="J386" s="3">
        <f>IF(D386&lt;&gt;"",INDEX([1]机架!$C:$C,D386+3),0)</f>
        <v>3707011121</v>
      </c>
    </row>
    <row r="387" spans="1:10" ht="16.5" x14ac:dyDescent="0.2">
      <c r="A387" s="3" t="s">
        <v>393</v>
      </c>
      <c r="B387" s="3">
        <v>384</v>
      </c>
      <c r="C387" s="3">
        <f t="shared" si="21"/>
        <v>767</v>
      </c>
      <c r="D387" s="3">
        <f t="shared" si="22"/>
        <v>768</v>
      </c>
      <c r="E387" s="3" t="str">
        <f t="shared" si="20"/>
        <v>dump:2211107073&amp;3211107073</v>
      </c>
      <c r="F387" s="3" t="str">
        <f t="shared" si="23"/>
        <v>哑资源设备_384</v>
      </c>
      <c r="G387" s="10" t="s">
        <v>406</v>
      </c>
      <c r="H387" s="3" t="str">
        <f>"检测机架"&amp;INDEX([1]机架!$D:$D,C387+3)&amp;IF(D387&lt;&gt;"","和"&amp;INDEX([1]机架!$D:$D,D387+3),"")&amp;"的数据"</f>
        <v>检测机架昌乐北局の机架-5和昌乐北局の机架-6的数据</v>
      </c>
      <c r="I387" s="3">
        <f>INDEX([1]机架!$C:$C,C387+3)</f>
        <v>3707011122</v>
      </c>
      <c r="J387" s="3">
        <f>IF(D387&lt;&gt;"",INDEX([1]机架!$C:$C,D387+3),0)</f>
        <v>3707011123</v>
      </c>
    </row>
    <row r="388" spans="1:10" ht="16.5" x14ac:dyDescent="0.2">
      <c r="A388" s="3" t="s">
        <v>393</v>
      </c>
      <c r="B388" s="3">
        <v>385</v>
      </c>
      <c r="C388" s="3">
        <f t="shared" si="21"/>
        <v>769</v>
      </c>
      <c r="D388" s="3">
        <f t="shared" si="22"/>
        <v>770</v>
      </c>
      <c r="E388" s="3" t="str">
        <f t="shared" ref="E388:E451" si="24">"dump:"&amp;Reverse(I388)&amp;"&amp;"&amp;Reverse(J388)</f>
        <v>dump:1311107073&amp;2311107073</v>
      </c>
      <c r="F388" s="3" t="str">
        <f t="shared" si="23"/>
        <v>哑资源设备_385</v>
      </c>
      <c r="G388" s="10" t="s">
        <v>406</v>
      </c>
      <c r="H388" s="3" t="str">
        <f>"检测机架"&amp;INDEX([1]机架!$D:$D,C388+3)&amp;IF(D388&lt;&gt;"","和"&amp;INDEX([1]机架!$D:$D,D388+3),"")&amp;"的数据"</f>
        <v>检测机架昌乐北局の机架-7和昌乐北局の机架-8的数据</v>
      </c>
      <c r="I388" s="3">
        <f>INDEX([1]机架!$C:$C,C388+3)</f>
        <v>3707011131</v>
      </c>
      <c r="J388" s="3">
        <f>IF(D388&lt;&gt;"",INDEX([1]机架!$C:$C,D388+3),0)</f>
        <v>3707011132</v>
      </c>
    </row>
    <row r="389" spans="1:10" ht="16.5" x14ac:dyDescent="0.2">
      <c r="A389" s="3" t="s">
        <v>393</v>
      </c>
      <c r="B389" s="3">
        <v>386</v>
      </c>
      <c r="C389" s="3">
        <f t="shared" ref="C389:C452" si="25">MOD(B389-1,INT(($N$3+1)/2))*2+1</f>
        <v>771</v>
      </c>
      <c r="D389" s="3">
        <f t="shared" ref="D389:D452" si="26">IF(C389&lt;$N$3,MOD(B389-1,INT(($N$3+1)/2))*2+2,"")</f>
        <v>772</v>
      </c>
      <c r="E389" s="3" t="str">
        <f t="shared" si="24"/>
        <v>dump:3311107073&amp;1112107073</v>
      </c>
      <c r="F389" s="3" t="str">
        <f t="shared" ref="F389:F452" si="27">"哑资源设备_"&amp;B389</f>
        <v>哑资源设备_386</v>
      </c>
      <c r="G389" s="10" t="s">
        <v>406</v>
      </c>
      <c r="H389" s="3" t="str">
        <f>"检测机架"&amp;INDEX([1]机架!$D:$D,C389+3)&amp;IF(D389&lt;&gt;"","和"&amp;INDEX([1]机架!$D:$D,D389+3),"")&amp;"的数据"</f>
        <v>检测机架昌乐北局の机架-9和高密の机架-1的数据</v>
      </c>
      <c r="I389" s="3">
        <f>INDEX([1]机架!$C:$C,C389+3)</f>
        <v>3707011133</v>
      </c>
      <c r="J389" s="3">
        <f>IF(D389&lt;&gt;"",INDEX([1]机架!$C:$C,D389+3),0)</f>
        <v>3707012111</v>
      </c>
    </row>
    <row r="390" spans="1:10" ht="16.5" x14ac:dyDescent="0.2">
      <c r="A390" s="3" t="s">
        <v>393</v>
      </c>
      <c r="B390" s="3">
        <v>387</v>
      </c>
      <c r="C390" s="3">
        <f t="shared" si="25"/>
        <v>773</v>
      </c>
      <c r="D390" s="3">
        <f t="shared" si="26"/>
        <v>774</v>
      </c>
      <c r="E390" s="3" t="str">
        <f t="shared" si="24"/>
        <v>dump:2112107073&amp;3112107073</v>
      </c>
      <c r="F390" s="3" t="str">
        <f t="shared" si="27"/>
        <v>哑资源设备_387</v>
      </c>
      <c r="G390" s="10" t="s">
        <v>406</v>
      </c>
      <c r="H390" s="3" t="str">
        <f>"检测机架"&amp;INDEX([1]机架!$D:$D,C390+3)&amp;IF(D390&lt;&gt;"","和"&amp;INDEX([1]机架!$D:$D,D390+3),"")&amp;"的数据"</f>
        <v>检测机架高密の机架-2和高密の机架-3的数据</v>
      </c>
      <c r="I390" s="3">
        <f>INDEX([1]机架!$C:$C,C390+3)</f>
        <v>3707012112</v>
      </c>
      <c r="J390" s="3">
        <f>IF(D390&lt;&gt;"",INDEX([1]机架!$C:$C,D390+3),0)</f>
        <v>3707012113</v>
      </c>
    </row>
    <row r="391" spans="1:10" ht="16.5" x14ac:dyDescent="0.2">
      <c r="A391" s="3" t="s">
        <v>393</v>
      </c>
      <c r="B391" s="3">
        <v>388</v>
      </c>
      <c r="C391" s="3">
        <f t="shared" si="25"/>
        <v>775</v>
      </c>
      <c r="D391" s="3">
        <f t="shared" si="26"/>
        <v>776</v>
      </c>
      <c r="E391" s="3" t="str">
        <f t="shared" si="24"/>
        <v>dump:1212107073&amp;2212107073</v>
      </c>
      <c r="F391" s="3" t="str">
        <f t="shared" si="27"/>
        <v>哑资源设备_388</v>
      </c>
      <c r="G391" s="10" t="s">
        <v>406</v>
      </c>
      <c r="H391" s="3" t="str">
        <f>"检测机架"&amp;INDEX([1]机架!$D:$D,C391+3)&amp;IF(D391&lt;&gt;"","和"&amp;INDEX([1]机架!$D:$D,D391+3),"")&amp;"的数据"</f>
        <v>检测机架高密の机架-4和高密の机架-5的数据</v>
      </c>
      <c r="I391" s="3">
        <f>INDEX([1]机架!$C:$C,C391+3)</f>
        <v>3707012121</v>
      </c>
      <c r="J391" s="3">
        <f>IF(D391&lt;&gt;"",INDEX([1]机架!$C:$C,D391+3),0)</f>
        <v>3707012122</v>
      </c>
    </row>
    <row r="392" spans="1:10" ht="16.5" x14ac:dyDescent="0.2">
      <c r="A392" s="3" t="s">
        <v>393</v>
      </c>
      <c r="B392" s="3">
        <v>389</v>
      </c>
      <c r="C392" s="3">
        <f t="shared" si="25"/>
        <v>777</v>
      </c>
      <c r="D392" s="3">
        <f t="shared" si="26"/>
        <v>778</v>
      </c>
      <c r="E392" s="3" t="str">
        <f t="shared" si="24"/>
        <v>dump:3212107073&amp;1312107073</v>
      </c>
      <c r="F392" s="3" t="str">
        <f t="shared" si="27"/>
        <v>哑资源设备_389</v>
      </c>
      <c r="G392" s="10" t="s">
        <v>406</v>
      </c>
      <c r="H392" s="3" t="str">
        <f>"检测机架"&amp;INDEX([1]机架!$D:$D,C392+3)&amp;IF(D392&lt;&gt;"","和"&amp;INDEX([1]机架!$D:$D,D392+3),"")&amp;"的数据"</f>
        <v>检测机架高密の机架-6和高密の机架-7的数据</v>
      </c>
      <c r="I392" s="3">
        <f>INDEX([1]机架!$C:$C,C392+3)</f>
        <v>3707012123</v>
      </c>
      <c r="J392" s="3">
        <f>IF(D392&lt;&gt;"",INDEX([1]机架!$C:$C,D392+3),0)</f>
        <v>3707012131</v>
      </c>
    </row>
    <row r="393" spans="1:10" ht="16.5" x14ac:dyDescent="0.2">
      <c r="A393" s="3" t="s">
        <v>393</v>
      </c>
      <c r="B393" s="3">
        <v>390</v>
      </c>
      <c r="C393" s="3">
        <f t="shared" si="25"/>
        <v>779</v>
      </c>
      <c r="D393" s="3">
        <f t="shared" si="26"/>
        <v>780</v>
      </c>
      <c r="E393" s="3" t="str">
        <f t="shared" si="24"/>
        <v>dump:2312107073&amp;3312107073</v>
      </c>
      <c r="F393" s="3" t="str">
        <f t="shared" si="27"/>
        <v>哑资源设备_390</v>
      </c>
      <c r="G393" s="10" t="s">
        <v>406</v>
      </c>
      <c r="H393" s="3" t="str">
        <f>"检测机架"&amp;INDEX([1]机架!$D:$D,C393+3)&amp;IF(D393&lt;&gt;"","和"&amp;INDEX([1]机架!$D:$D,D393+3),"")&amp;"的数据"</f>
        <v>检测机架高密の机架-8和高密の机架-9的数据</v>
      </c>
      <c r="I393" s="3">
        <f>INDEX([1]机架!$C:$C,C393+3)</f>
        <v>3707012132</v>
      </c>
      <c r="J393" s="3">
        <f>IF(D393&lt;&gt;"",INDEX([1]机架!$C:$C,D393+3),0)</f>
        <v>3707012133</v>
      </c>
    </row>
    <row r="394" spans="1:10" ht="16.5" x14ac:dyDescent="0.2">
      <c r="A394" s="3" t="s">
        <v>393</v>
      </c>
      <c r="B394" s="3">
        <v>391</v>
      </c>
      <c r="C394" s="3">
        <f t="shared" si="25"/>
        <v>781</v>
      </c>
      <c r="D394" s="3">
        <f t="shared" si="26"/>
        <v>782</v>
      </c>
      <c r="E394" s="3" t="str">
        <f t="shared" si="24"/>
        <v>dump:1113107073&amp;2113107073</v>
      </c>
      <c r="F394" s="3" t="str">
        <f t="shared" si="27"/>
        <v>哑资源设备_391</v>
      </c>
      <c r="G394" s="10" t="s">
        <v>406</v>
      </c>
      <c r="H394" s="3" t="str">
        <f>"检测机架"&amp;INDEX([1]机架!$D:$D,C394+3)&amp;IF(D394&lt;&gt;"","和"&amp;INDEX([1]机架!$D:$D,D394+3),"")&amp;"的数据"</f>
        <v>检测机架高密火车站の机架-1和高密火车站の机架-2的数据</v>
      </c>
      <c r="I394" s="3">
        <f>INDEX([1]机架!$C:$C,C394+3)</f>
        <v>3707013111</v>
      </c>
      <c r="J394" s="3">
        <f>IF(D394&lt;&gt;"",INDEX([1]机架!$C:$C,D394+3),0)</f>
        <v>3707013112</v>
      </c>
    </row>
    <row r="395" spans="1:10" ht="16.5" x14ac:dyDescent="0.2">
      <c r="A395" s="3" t="s">
        <v>393</v>
      </c>
      <c r="B395" s="3">
        <v>392</v>
      </c>
      <c r="C395" s="3">
        <f t="shared" si="25"/>
        <v>783</v>
      </c>
      <c r="D395" s="3">
        <f t="shared" si="26"/>
        <v>784</v>
      </c>
      <c r="E395" s="3" t="str">
        <f t="shared" si="24"/>
        <v>dump:3113107073&amp;1213107073</v>
      </c>
      <c r="F395" s="3" t="str">
        <f t="shared" si="27"/>
        <v>哑资源设备_392</v>
      </c>
      <c r="G395" s="10" t="s">
        <v>406</v>
      </c>
      <c r="H395" s="3" t="str">
        <f>"检测机架"&amp;INDEX([1]机架!$D:$D,C395+3)&amp;IF(D395&lt;&gt;"","和"&amp;INDEX([1]机架!$D:$D,D395+3),"")&amp;"的数据"</f>
        <v>检测机架高密火车站の机架-3和高密火车站の机架-4的数据</v>
      </c>
      <c r="I395" s="3">
        <f>INDEX([1]机架!$C:$C,C395+3)</f>
        <v>3707013113</v>
      </c>
      <c r="J395" s="3">
        <f>IF(D395&lt;&gt;"",INDEX([1]机架!$C:$C,D395+3),0)</f>
        <v>3707013121</v>
      </c>
    </row>
    <row r="396" spans="1:10" ht="16.5" x14ac:dyDescent="0.2">
      <c r="A396" s="3" t="s">
        <v>393</v>
      </c>
      <c r="B396" s="3">
        <v>393</v>
      </c>
      <c r="C396" s="3">
        <f t="shared" si="25"/>
        <v>785</v>
      </c>
      <c r="D396" s="3">
        <f t="shared" si="26"/>
        <v>786</v>
      </c>
      <c r="E396" s="3" t="str">
        <f t="shared" si="24"/>
        <v>dump:2213107073&amp;3213107073</v>
      </c>
      <c r="F396" s="3" t="str">
        <f t="shared" si="27"/>
        <v>哑资源设备_393</v>
      </c>
      <c r="G396" s="10" t="s">
        <v>406</v>
      </c>
      <c r="H396" s="3" t="str">
        <f>"检测机架"&amp;INDEX([1]机架!$D:$D,C396+3)&amp;IF(D396&lt;&gt;"","和"&amp;INDEX([1]机架!$D:$D,D396+3),"")&amp;"的数据"</f>
        <v>检测机架高密火车站の机架-5和高密火车站の机架-6的数据</v>
      </c>
      <c r="I396" s="3">
        <f>INDEX([1]机架!$C:$C,C396+3)</f>
        <v>3707013122</v>
      </c>
      <c r="J396" s="3">
        <f>IF(D396&lt;&gt;"",INDEX([1]机架!$C:$C,D396+3),0)</f>
        <v>3707013123</v>
      </c>
    </row>
    <row r="397" spans="1:10" ht="16.5" x14ac:dyDescent="0.2">
      <c r="A397" s="3" t="s">
        <v>393</v>
      </c>
      <c r="B397" s="3">
        <v>394</v>
      </c>
      <c r="C397" s="3">
        <f t="shared" si="25"/>
        <v>787</v>
      </c>
      <c r="D397" s="3">
        <f t="shared" si="26"/>
        <v>788</v>
      </c>
      <c r="E397" s="3" t="str">
        <f t="shared" si="24"/>
        <v>dump:1313107073&amp;2313107073</v>
      </c>
      <c r="F397" s="3" t="str">
        <f t="shared" si="27"/>
        <v>哑资源设备_394</v>
      </c>
      <c r="G397" s="10" t="s">
        <v>406</v>
      </c>
      <c r="H397" s="3" t="str">
        <f>"检测机架"&amp;INDEX([1]机架!$D:$D,C397+3)&amp;IF(D397&lt;&gt;"","和"&amp;INDEX([1]机架!$D:$D,D397+3),"")&amp;"的数据"</f>
        <v>检测机架高密火车站の机架-7和高密火车站の机架-8的数据</v>
      </c>
      <c r="I397" s="3">
        <f>INDEX([1]机架!$C:$C,C397+3)</f>
        <v>3707013131</v>
      </c>
      <c r="J397" s="3">
        <f>IF(D397&lt;&gt;"",INDEX([1]机架!$C:$C,D397+3),0)</f>
        <v>3707013132</v>
      </c>
    </row>
    <row r="398" spans="1:10" ht="16.5" x14ac:dyDescent="0.2">
      <c r="A398" s="3" t="s">
        <v>393</v>
      </c>
      <c r="B398" s="3">
        <v>395</v>
      </c>
      <c r="C398" s="3">
        <f t="shared" si="25"/>
        <v>789</v>
      </c>
      <c r="D398" s="3">
        <f t="shared" si="26"/>
        <v>790</v>
      </c>
      <c r="E398" s="3" t="str">
        <f t="shared" si="24"/>
        <v>dump:3313107073&amp;1114107073</v>
      </c>
      <c r="F398" s="3" t="str">
        <f t="shared" si="27"/>
        <v>哑资源设备_395</v>
      </c>
      <c r="G398" s="10" t="s">
        <v>406</v>
      </c>
      <c r="H398" s="3" t="str">
        <f>"检测机架"&amp;INDEX([1]机架!$D:$D,C398+3)&amp;IF(D398&lt;&gt;"","和"&amp;INDEX([1]机架!$D:$D,D398+3),"")&amp;"的数据"</f>
        <v>检测机架高密火车站の机架-9和诸城の机架-1的数据</v>
      </c>
      <c r="I398" s="3">
        <f>INDEX([1]机架!$C:$C,C398+3)</f>
        <v>3707013133</v>
      </c>
      <c r="J398" s="3">
        <f>IF(D398&lt;&gt;"",INDEX([1]机架!$C:$C,D398+3),0)</f>
        <v>3707014111</v>
      </c>
    </row>
    <row r="399" spans="1:10" ht="16.5" x14ac:dyDescent="0.2">
      <c r="A399" s="3" t="s">
        <v>393</v>
      </c>
      <c r="B399" s="3">
        <v>396</v>
      </c>
      <c r="C399" s="3">
        <f t="shared" si="25"/>
        <v>791</v>
      </c>
      <c r="D399" s="3">
        <f t="shared" si="26"/>
        <v>792</v>
      </c>
      <c r="E399" s="3" t="str">
        <f t="shared" si="24"/>
        <v>dump:2114107073&amp;3114107073</v>
      </c>
      <c r="F399" s="3" t="str">
        <f t="shared" si="27"/>
        <v>哑资源设备_396</v>
      </c>
      <c r="G399" s="10" t="s">
        <v>406</v>
      </c>
      <c r="H399" s="3" t="str">
        <f>"检测机架"&amp;INDEX([1]机架!$D:$D,C399+3)&amp;IF(D399&lt;&gt;"","和"&amp;INDEX([1]机架!$D:$D,D399+3),"")&amp;"的数据"</f>
        <v>检测机架诸城の机架-2和诸城の机架-3的数据</v>
      </c>
      <c r="I399" s="3">
        <f>INDEX([1]机架!$C:$C,C399+3)</f>
        <v>3707014112</v>
      </c>
      <c r="J399" s="3">
        <f>IF(D399&lt;&gt;"",INDEX([1]机架!$C:$C,D399+3),0)</f>
        <v>3707014113</v>
      </c>
    </row>
    <row r="400" spans="1:10" ht="16.5" x14ac:dyDescent="0.2">
      <c r="A400" s="3" t="s">
        <v>393</v>
      </c>
      <c r="B400" s="3">
        <v>397</v>
      </c>
      <c r="C400" s="3">
        <f t="shared" si="25"/>
        <v>793</v>
      </c>
      <c r="D400" s="3">
        <f t="shared" si="26"/>
        <v>794</v>
      </c>
      <c r="E400" s="3" t="str">
        <f t="shared" si="24"/>
        <v>dump:1214107073&amp;2214107073</v>
      </c>
      <c r="F400" s="3" t="str">
        <f t="shared" si="27"/>
        <v>哑资源设备_397</v>
      </c>
      <c r="G400" s="10" t="s">
        <v>406</v>
      </c>
      <c r="H400" s="3" t="str">
        <f>"检测机架"&amp;INDEX([1]机架!$D:$D,C400+3)&amp;IF(D400&lt;&gt;"","和"&amp;INDEX([1]机架!$D:$D,D400+3),"")&amp;"的数据"</f>
        <v>检测机架诸城の机架-4和诸城の机架-5的数据</v>
      </c>
      <c r="I400" s="3">
        <f>INDEX([1]机架!$C:$C,C400+3)</f>
        <v>3707014121</v>
      </c>
      <c r="J400" s="3">
        <f>IF(D400&lt;&gt;"",INDEX([1]机架!$C:$C,D400+3),0)</f>
        <v>3707014122</v>
      </c>
    </row>
    <row r="401" spans="1:10" ht="16.5" x14ac:dyDescent="0.2">
      <c r="A401" s="3" t="s">
        <v>393</v>
      </c>
      <c r="B401" s="3">
        <v>398</v>
      </c>
      <c r="C401" s="3">
        <f t="shared" si="25"/>
        <v>795</v>
      </c>
      <c r="D401" s="3">
        <f t="shared" si="26"/>
        <v>796</v>
      </c>
      <c r="E401" s="3" t="str">
        <f t="shared" si="24"/>
        <v>dump:3214107073&amp;1314107073</v>
      </c>
      <c r="F401" s="3" t="str">
        <f t="shared" si="27"/>
        <v>哑资源设备_398</v>
      </c>
      <c r="G401" s="10" t="s">
        <v>406</v>
      </c>
      <c r="H401" s="3" t="str">
        <f>"检测机架"&amp;INDEX([1]机架!$D:$D,C401+3)&amp;IF(D401&lt;&gt;"","和"&amp;INDEX([1]机架!$D:$D,D401+3),"")&amp;"的数据"</f>
        <v>检测机架诸城の机架-6和诸城の机架-7的数据</v>
      </c>
      <c r="I401" s="3">
        <f>INDEX([1]机架!$C:$C,C401+3)</f>
        <v>3707014123</v>
      </c>
      <c r="J401" s="3">
        <f>IF(D401&lt;&gt;"",INDEX([1]机架!$C:$C,D401+3),0)</f>
        <v>3707014131</v>
      </c>
    </row>
    <row r="402" spans="1:10" ht="16.5" x14ac:dyDescent="0.2">
      <c r="A402" s="3" t="s">
        <v>393</v>
      </c>
      <c r="B402" s="3">
        <v>399</v>
      </c>
      <c r="C402" s="3">
        <f t="shared" si="25"/>
        <v>797</v>
      </c>
      <c r="D402" s="3">
        <f t="shared" si="26"/>
        <v>798</v>
      </c>
      <c r="E402" s="3" t="str">
        <f t="shared" si="24"/>
        <v>dump:2314107073&amp;3314107073</v>
      </c>
      <c r="F402" s="3" t="str">
        <f t="shared" si="27"/>
        <v>哑资源设备_399</v>
      </c>
      <c r="G402" s="10" t="s">
        <v>406</v>
      </c>
      <c r="H402" s="3" t="str">
        <f>"检测机架"&amp;INDEX([1]机架!$D:$D,C402+3)&amp;IF(D402&lt;&gt;"","和"&amp;INDEX([1]机架!$D:$D,D402+3),"")&amp;"的数据"</f>
        <v>检测机架诸城の机架-8和诸城の机架-9的数据</v>
      </c>
      <c r="I402" s="3">
        <f>INDEX([1]机架!$C:$C,C402+3)</f>
        <v>3707014132</v>
      </c>
      <c r="J402" s="3">
        <f>IF(D402&lt;&gt;"",INDEX([1]机架!$C:$C,D402+3),0)</f>
        <v>3707014133</v>
      </c>
    </row>
    <row r="403" spans="1:10" ht="16.5" x14ac:dyDescent="0.2">
      <c r="A403" s="3" t="s">
        <v>393</v>
      </c>
      <c r="B403" s="3">
        <v>400</v>
      </c>
      <c r="C403" s="3">
        <f t="shared" si="25"/>
        <v>799</v>
      </c>
      <c r="D403" s="3">
        <f t="shared" si="26"/>
        <v>800</v>
      </c>
      <c r="E403" s="3" t="str">
        <f t="shared" si="24"/>
        <v>dump:1115107073&amp;2115107073</v>
      </c>
      <c r="F403" s="3" t="str">
        <f t="shared" si="27"/>
        <v>哑资源设备_400</v>
      </c>
      <c r="G403" s="10" t="s">
        <v>406</v>
      </c>
      <c r="H403" s="3" t="str">
        <f>"检测机架"&amp;INDEX([1]机架!$D:$D,C403+3)&amp;IF(D403&lt;&gt;"","和"&amp;INDEX([1]机架!$D:$D,D403+3),"")&amp;"的数据"</f>
        <v>检测机架诸城原联通高级技工学校の机架-1和诸城原联通高级技工学校の机架-2的数据</v>
      </c>
      <c r="I403" s="3">
        <f>INDEX([1]机架!$C:$C,C403+3)</f>
        <v>3707015111</v>
      </c>
      <c r="J403" s="3">
        <f>IF(D403&lt;&gt;"",INDEX([1]机架!$C:$C,D403+3),0)</f>
        <v>3707015112</v>
      </c>
    </row>
    <row r="404" spans="1:10" ht="16.5" x14ac:dyDescent="0.2">
      <c r="A404" s="3" t="s">
        <v>393</v>
      </c>
      <c r="B404" s="3">
        <v>401</v>
      </c>
      <c r="C404" s="3">
        <f t="shared" si="25"/>
        <v>801</v>
      </c>
      <c r="D404" s="3">
        <f t="shared" si="26"/>
        <v>802</v>
      </c>
      <c r="E404" s="3" t="str">
        <f t="shared" si="24"/>
        <v>dump:3115107073&amp;1215107073</v>
      </c>
      <c r="F404" s="3" t="str">
        <f t="shared" si="27"/>
        <v>哑资源设备_401</v>
      </c>
      <c r="G404" s="10" t="s">
        <v>406</v>
      </c>
      <c r="H404" s="3" t="str">
        <f>"检测机架"&amp;INDEX([1]机架!$D:$D,C404+3)&amp;IF(D404&lt;&gt;"","和"&amp;INDEX([1]机架!$D:$D,D404+3),"")&amp;"的数据"</f>
        <v>检测机架诸城原联通高级技工学校の机架-3和诸城原联通高级技工学校の机架-4的数据</v>
      </c>
      <c r="I404" s="3">
        <f>INDEX([1]机架!$C:$C,C404+3)</f>
        <v>3707015113</v>
      </c>
      <c r="J404" s="3">
        <f>IF(D404&lt;&gt;"",INDEX([1]机架!$C:$C,D404+3),0)</f>
        <v>3707015121</v>
      </c>
    </row>
    <row r="405" spans="1:10" ht="16.5" x14ac:dyDescent="0.2">
      <c r="A405" s="3" t="s">
        <v>393</v>
      </c>
      <c r="B405" s="3">
        <v>402</v>
      </c>
      <c r="C405" s="3">
        <f t="shared" si="25"/>
        <v>803</v>
      </c>
      <c r="D405" s="3">
        <f t="shared" si="26"/>
        <v>804</v>
      </c>
      <c r="E405" s="3" t="str">
        <f t="shared" si="24"/>
        <v>dump:2215107073&amp;3215107073</v>
      </c>
      <c r="F405" s="3" t="str">
        <f t="shared" si="27"/>
        <v>哑资源设备_402</v>
      </c>
      <c r="G405" s="10" t="s">
        <v>406</v>
      </c>
      <c r="H405" s="3" t="str">
        <f>"检测机架"&amp;INDEX([1]机架!$D:$D,C405+3)&amp;IF(D405&lt;&gt;"","和"&amp;INDEX([1]机架!$D:$D,D405+3),"")&amp;"的数据"</f>
        <v>检测机架诸城原联通高级技工学校の机架-5和诸城原联通高级技工学校の机架-6的数据</v>
      </c>
      <c r="I405" s="3">
        <f>INDEX([1]机架!$C:$C,C405+3)</f>
        <v>3707015122</v>
      </c>
      <c r="J405" s="3">
        <f>IF(D405&lt;&gt;"",INDEX([1]机架!$C:$C,D405+3),0)</f>
        <v>3707015123</v>
      </c>
    </row>
    <row r="406" spans="1:10" ht="16.5" x14ac:dyDescent="0.2">
      <c r="A406" s="3" t="s">
        <v>393</v>
      </c>
      <c r="B406" s="3">
        <v>403</v>
      </c>
      <c r="C406" s="3">
        <f t="shared" si="25"/>
        <v>805</v>
      </c>
      <c r="D406" s="3">
        <f t="shared" si="26"/>
        <v>806</v>
      </c>
      <c r="E406" s="3" t="str">
        <f t="shared" si="24"/>
        <v>dump:1315107073&amp;2315107073</v>
      </c>
      <c r="F406" s="3" t="str">
        <f t="shared" si="27"/>
        <v>哑资源设备_403</v>
      </c>
      <c r="G406" s="10" t="s">
        <v>406</v>
      </c>
      <c r="H406" s="3" t="str">
        <f>"检测机架"&amp;INDEX([1]机架!$D:$D,C406+3)&amp;IF(D406&lt;&gt;"","和"&amp;INDEX([1]机架!$D:$D,D406+3),"")&amp;"的数据"</f>
        <v>检测机架诸城原联通高级技工学校の机架-7和诸城原联通高级技工学校の机架-8的数据</v>
      </c>
      <c r="I406" s="3">
        <f>INDEX([1]机架!$C:$C,C406+3)</f>
        <v>3707015131</v>
      </c>
      <c r="J406" s="3">
        <f>IF(D406&lt;&gt;"",INDEX([1]机架!$C:$C,D406+3),0)</f>
        <v>3707015132</v>
      </c>
    </row>
    <row r="407" spans="1:10" ht="16.5" x14ac:dyDescent="0.2">
      <c r="A407" s="3" t="s">
        <v>393</v>
      </c>
      <c r="B407" s="3">
        <v>404</v>
      </c>
      <c r="C407" s="3">
        <f t="shared" si="25"/>
        <v>807</v>
      </c>
      <c r="D407" s="3">
        <f t="shared" si="26"/>
        <v>808</v>
      </c>
      <c r="E407" s="3" t="str">
        <f t="shared" si="24"/>
        <v>dump:3315107073&amp;1116107073</v>
      </c>
      <c r="F407" s="3" t="str">
        <f t="shared" si="27"/>
        <v>哑资源设备_404</v>
      </c>
      <c r="G407" s="10" t="s">
        <v>406</v>
      </c>
      <c r="H407" s="3" t="str">
        <f>"检测机架"&amp;INDEX([1]机架!$D:$D,C407+3)&amp;IF(D407&lt;&gt;"","和"&amp;INDEX([1]机架!$D:$D,D407+3),"")&amp;"的数据"</f>
        <v>检测机架诸城原联通高级技工学校の机架-9和安丘兴安路の机架-1的数据</v>
      </c>
      <c r="I407" s="3">
        <f>INDEX([1]机架!$C:$C,C407+3)</f>
        <v>3707015133</v>
      </c>
      <c r="J407" s="3">
        <f>IF(D407&lt;&gt;"",INDEX([1]机架!$C:$C,D407+3),0)</f>
        <v>3707016111</v>
      </c>
    </row>
    <row r="408" spans="1:10" ht="16.5" x14ac:dyDescent="0.2">
      <c r="A408" s="3" t="s">
        <v>393</v>
      </c>
      <c r="B408" s="3">
        <v>405</v>
      </c>
      <c r="C408" s="3">
        <f t="shared" si="25"/>
        <v>809</v>
      </c>
      <c r="D408" s="3">
        <f t="shared" si="26"/>
        <v>810</v>
      </c>
      <c r="E408" s="3" t="str">
        <f t="shared" si="24"/>
        <v>dump:2116107073&amp;3116107073</v>
      </c>
      <c r="F408" s="3" t="str">
        <f t="shared" si="27"/>
        <v>哑资源设备_405</v>
      </c>
      <c r="G408" s="10" t="s">
        <v>406</v>
      </c>
      <c r="H408" s="3" t="str">
        <f>"检测机架"&amp;INDEX([1]机架!$D:$D,C408+3)&amp;IF(D408&lt;&gt;"","和"&amp;INDEX([1]机架!$D:$D,D408+3),"")&amp;"的数据"</f>
        <v>检测机架安丘兴安路の机架-2和安丘兴安路の机架-3的数据</v>
      </c>
      <c r="I408" s="3">
        <f>INDEX([1]机架!$C:$C,C408+3)</f>
        <v>3707016112</v>
      </c>
      <c r="J408" s="3">
        <f>IF(D408&lt;&gt;"",INDEX([1]机架!$C:$C,D408+3),0)</f>
        <v>3707016113</v>
      </c>
    </row>
    <row r="409" spans="1:10" ht="16.5" x14ac:dyDescent="0.2">
      <c r="A409" s="3" t="s">
        <v>393</v>
      </c>
      <c r="B409" s="3">
        <v>406</v>
      </c>
      <c r="C409" s="3">
        <f t="shared" si="25"/>
        <v>811</v>
      </c>
      <c r="D409" s="3">
        <f t="shared" si="26"/>
        <v>812</v>
      </c>
      <c r="E409" s="3" t="str">
        <f t="shared" si="24"/>
        <v>dump:1216107073&amp;2216107073</v>
      </c>
      <c r="F409" s="3" t="str">
        <f t="shared" si="27"/>
        <v>哑资源设备_406</v>
      </c>
      <c r="G409" s="10" t="s">
        <v>406</v>
      </c>
      <c r="H409" s="3" t="str">
        <f>"检测机架"&amp;INDEX([1]机架!$D:$D,C409+3)&amp;IF(D409&lt;&gt;"","和"&amp;INDEX([1]机架!$D:$D,D409+3),"")&amp;"的数据"</f>
        <v>检测机架安丘兴安路の机架-4和安丘兴安路の机架-5的数据</v>
      </c>
      <c r="I409" s="3">
        <f>INDEX([1]机架!$C:$C,C409+3)</f>
        <v>3707016121</v>
      </c>
      <c r="J409" s="3">
        <f>IF(D409&lt;&gt;"",INDEX([1]机架!$C:$C,D409+3),0)</f>
        <v>3707016122</v>
      </c>
    </row>
    <row r="410" spans="1:10" ht="16.5" x14ac:dyDescent="0.2">
      <c r="A410" s="3" t="s">
        <v>393</v>
      </c>
      <c r="B410" s="3">
        <v>407</v>
      </c>
      <c r="C410" s="3">
        <f t="shared" si="25"/>
        <v>813</v>
      </c>
      <c r="D410" s="3">
        <f t="shared" si="26"/>
        <v>814</v>
      </c>
      <c r="E410" s="3" t="str">
        <f t="shared" si="24"/>
        <v>dump:3216107073&amp;1316107073</v>
      </c>
      <c r="F410" s="3" t="str">
        <f t="shared" si="27"/>
        <v>哑资源设备_407</v>
      </c>
      <c r="G410" s="10" t="s">
        <v>406</v>
      </c>
      <c r="H410" s="3" t="str">
        <f>"检测机架"&amp;INDEX([1]机架!$D:$D,C410+3)&amp;IF(D410&lt;&gt;"","和"&amp;INDEX([1]机架!$D:$D,D410+3),"")&amp;"的数据"</f>
        <v>检测机架安丘兴安路の机架-6和安丘兴安路の机架-7的数据</v>
      </c>
      <c r="I410" s="3">
        <f>INDEX([1]机架!$C:$C,C410+3)</f>
        <v>3707016123</v>
      </c>
      <c r="J410" s="3">
        <f>IF(D410&lt;&gt;"",INDEX([1]机架!$C:$C,D410+3),0)</f>
        <v>3707016131</v>
      </c>
    </row>
    <row r="411" spans="1:10" ht="16.5" x14ac:dyDescent="0.2">
      <c r="A411" s="3" t="s">
        <v>393</v>
      </c>
      <c r="B411" s="3">
        <v>408</v>
      </c>
      <c r="C411" s="3">
        <f t="shared" si="25"/>
        <v>815</v>
      </c>
      <c r="D411" s="3">
        <f t="shared" si="26"/>
        <v>816</v>
      </c>
      <c r="E411" s="3" t="str">
        <f t="shared" si="24"/>
        <v>dump:2316107073&amp;3316107073</v>
      </c>
      <c r="F411" s="3" t="str">
        <f t="shared" si="27"/>
        <v>哑资源设备_408</v>
      </c>
      <c r="G411" s="10" t="s">
        <v>406</v>
      </c>
      <c r="H411" s="3" t="str">
        <f>"检测机架"&amp;INDEX([1]机架!$D:$D,C411+3)&amp;IF(D411&lt;&gt;"","和"&amp;INDEX([1]机架!$D:$D,D411+3),"")&amp;"的数据"</f>
        <v>检测机架安丘兴安路の机架-8和安丘兴安路の机架-9的数据</v>
      </c>
      <c r="I411" s="3">
        <f>INDEX([1]机架!$C:$C,C411+3)</f>
        <v>3707016132</v>
      </c>
      <c r="J411" s="3">
        <f>IF(D411&lt;&gt;"",INDEX([1]机架!$C:$C,D411+3),0)</f>
        <v>3707016133</v>
      </c>
    </row>
    <row r="412" spans="1:10" ht="16.5" x14ac:dyDescent="0.2">
      <c r="A412" s="3" t="s">
        <v>393</v>
      </c>
      <c r="B412" s="3">
        <v>409</v>
      </c>
      <c r="C412" s="3">
        <f t="shared" si="25"/>
        <v>817</v>
      </c>
      <c r="D412" s="3">
        <f t="shared" si="26"/>
        <v>818</v>
      </c>
      <c r="E412" s="3" t="str">
        <f t="shared" si="24"/>
        <v>dump:1117107073&amp;2117107073</v>
      </c>
      <c r="F412" s="3" t="str">
        <f t="shared" si="27"/>
        <v>哑资源设备_409</v>
      </c>
      <c r="G412" s="10" t="s">
        <v>406</v>
      </c>
      <c r="H412" s="3" t="str">
        <f>"检测机架"&amp;INDEX([1]机架!$D:$D,C412+3)&amp;IF(D412&lt;&gt;"","和"&amp;INDEX([1]机架!$D:$D,D412+3),"")&amp;"的数据"</f>
        <v>检测机架安丘景芝の机架-1和安丘景芝の机架-2的数据</v>
      </c>
      <c r="I412" s="3">
        <f>INDEX([1]机架!$C:$C,C412+3)</f>
        <v>3707017111</v>
      </c>
      <c r="J412" s="3">
        <f>IF(D412&lt;&gt;"",INDEX([1]机架!$C:$C,D412+3),0)</f>
        <v>3707017112</v>
      </c>
    </row>
    <row r="413" spans="1:10" ht="16.5" x14ac:dyDescent="0.2">
      <c r="A413" s="3" t="s">
        <v>393</v>
      </c>
      <c r="B413" s="3">
        <v>410</v>
      </c>
      <c r="C413" s="3">
        <f t="shared" si="25"/>
        <v>819</v>
      </c>
      <c r="D413" s="3">
        <f t="shared" si="26"/>
        <v>820</v>
      </c>
      <c r="E413" s="3" t="str">
        <f t="shared" si="24"/>
        <v>dump:3117107073&amp;1217107073</v>
      </c>
      <c r="F413" s="3" t="str">
        <f t="shared" si="27"/>
        <v>哑资源设备_410</v>
      </c>
      <c r="G413" s="10" t="s">
        <v>406</v>
      </c>
      <c r="H413" s="3" t="str">
        <f>"检测机架"&amp;INDEX([1]机架!$D:$D,C413+3)&amp;IF(D413&lt;&gt;"","和"&amp;INDEX([1]机架!$D:$D,D413+3),"")&amp;"的数据"</f>
        <v>检测机架安丘景芝の机架-3和安丘景芝の机架-4的数据</v>
      </c>
      <c r="I413" s="3">
        <f>INDEX([1]机架!$C:$C,C413+3)</f>
        <v>3707017113</v>
      </c>
      <c r="J413" s="3">
        <f>IF(D413&lt;&gt;"",INDEX([1]机架!$C:$C,D413+3),0)</f>
        <v>3707017121</v>
      </c>
    </row>
    <row r="414" spans="1:10" ht="16.5" x14ac:dyDescent="0.2">
      <c r="A414" s="3" t="s">
        <v>393</v>
      </c>
      <c r="B414" s="3">
        <v>411</v>
      </c>
      <c r="C414" s="3">
        <f t="shared" si="25"/>
        <v>821</v>
      </c>
      <c r="D414" s="3">
        <f t="shared" si="26"/>
        <v>822</v>
      </c>
      <c r="E414" s="3" t="str">
        <f t="shared" si="24"/>
        <v>dump:2217107073&amp;3217107073</v>
      </c>
      <c r="F414" s="3" t="str">
        <f t="shared" si="27"/>
        <v>哑资源设备_411</v>
      </c>
      <c r="G414" s="10" t="s">
        <v>406</v>
      </c>
      <c r="H414" s="3" t="str">
        <f>"检测机架"&amp;INDEX([1]机架!$D:$D,C414+3)&amp;IF(D414&lt;&gt;"","和"&amp;INDEX([1]机架!$D:$D,D414+3),"")&amp;"的数据"</f>
        <v>检测机架安丘景芝の机架-5和安丘景芝の机架-6的数据</v>
      </c>
      <c r="I414" s="3">
        <f>INDEX([1]机架!$C:$C,C414+3)</f>
        <v>3707017122</v>
      </c>
      <c r="J414" s="3">
        <f>IF(D414&lt;&gt;"",INDEX([1]机架!$C:$C,D414+3),0)</f>
        <v>3707017123</v>
      </c>
    </row>
    <row r="415" spans="1:10" ht="16.5" x14ac:dyDescent="0.2">
      <c r="A415" s="3" t="s">
        <v>393</v>
      </c>
      <c r="B415" s="3">
        <v>412</v>
      </c>
      <c r="C415" s="3">
        <f t="shared" si="25"/>
        <v>823</v>
      </c>
      <c r="D415" s="3">
        <f t="shared" si="26"/>
        <v>824</v>
      </c>
      <c r="E415" s="3" t="str">
        <f t="shared" si="24"/>
        <v>dump:1317107073&amp;2317107073</v>
      </c>
      <c r="F415" s="3" t="str">
        <f t="shared" si="27"/>
        <v>哑资源设备_412</v>
      </c>
      <c r="G415" s="10" t="s">
        <v>406</v>
      </c>
      <c r="H415" s="3" t="str">
        <f>"检测机架"&amp;INDEX([1]机架!$D:$D,C415+3)&amp;IF(D415&lt;&gt;"","和"&amp;INDEX([1]机架!$D:$D,D415+3),"")&amp;"的数据"</f>
        <v>检测机架安丘景芝の机架-7和安丘景芝の机架-8的数据</v>
      </c>
      <c r="I415" s="3">
        <f>INDEX([1]机架!$C:$C,C415+3)</f>
        <v>3707017131</v>
      </c>
      <c r="J415" s="3">
        <f>IF(D415&lt;&gt;"",INDEX([1]机架!$C:$C,D415+3),0)</f>
        <v>3707017132</v>
      </c>
    </row>
    <row r="416" spans="1:10" ht="16.5" x14ac:dyDescent="0.2">
      <c r="A416" s="3" t="s">
        <v>393</v>
      </c>
      <c r="B416" s="3">
        <v>413</v>
      </c>
      <c r="C416" s="3">
        <f t="shared" si="25"/>
        <v>825</v>
      </c>
      <c r="D416" s="3">
        <f t="shared" si="26"/>
        <v>826</v>
      </c>
      <c r="E416" s="3" t="str">
        <f t="shared" si="24"/>
        <v>dump:3317107073&amp;1118107073</v>
      </c>
      <c r="F416" s="3" t="str">
        <f t="shared" si="27"/>
        <v>哑资源设备_413</v>
      </c>
      <c r="G416" s="10" t="s">
        <v>406</v>
      </c>
      <c r="H416" s="3" t="str">
        <f>"检测机架"&amp;INDEX([1]机架!$D:$D,C416+3)&amp;IF(D416&lt;&gt;"","和"&amp;INDEX([1]机架!$D:$D,D416+3),"")&amp;"的数据"</f>
        <v>检测机架安丘景芝の机架-9和吾山南逯の机架-1的数据</v>
      </c>
      <c r="I416" s="3">
        <f>INDEX([1]机架!$C:$C,C416+3)</f>
        <v>3707017133</v>
      </c>
      <c r="J416" s="3">
        <f>IF(D416&lt;&gt;"",INDEX([1]机架!$C:$C,D416+3),0)</f>
        <v>3707018111</v>
      </c>
    </row>
    <row r="417" spans="1:10" ht="16.5" x14ac:dyDescent="0.2">
      <c r="A417" s="3" t="s">
        <v>393</v>
      </c>
      <c r="B417" s="3">
        <v>414</v>
      </c>
      <c r="C417" s="3">
        <f t="shared" si="25"/>
        <v>827</v>
      </c>
      <c r="D417" s="3">
        <f t="shared" si="26"/>
        <v>828</v>
      </c>
      <c r="E417" s="3" t="str">
        <f t="shared" si="24"/>
        <v>dump:2118107073&amp;3118107073</v>
      </c>
      <c r="F417" s="3" t="str">
        <f t="shared" si="27"/>
        <v>哑资源设备_414</v>
      </c>
      <c r="G417" s="10" t="s">
        <v>406</v>
      </c>
      <c r="H417" s="3" t="str">
        <f>"检测机架"&amp;INDEX([1]机架!$D:$D,C417+3)&amp;IF(D417&lt;&gt;"","和"&amp;INDEX([1]机架!$D:$D,D417+3),"")&amp;"的数据"</f>
        <v>检测机架吾山南逯の机架-2和吾山南逯の机架-3的数据</v>
      </c>
      <c r="I417" s="3">
        <f>INDEX([1]机架!$C:$C,C417+3)</f>
        <v>3707018112</v>
      </c>
      <c r="J417" s="3">
        <f>IF(D417&lt;&gt;"",INDEX([1]机架!$C:$C,D417+3),0)</f>
        <v>3707018113</v>
      </c>
    </row>
    <row r="418" spans="1:10" ht="16.5" x14ac:dyDescent="0.2">
      <c r="A418" s="3" t="s">
        <v>393</v>
      </c>
      <c r="B418" s="3">
        <v>415</v>
      </c>
      <c r="C418" s="3">
        <f t="shared" si="25"/>
        <v>829</v>
      </c>
      <c r="D418" s="3">
        <f t="shared" si="26"/>
        <v>830</v>
      </c>
      <c r="E418" s="3" t="str">
        <f t="shared" si="24"/>
        <v>dump:1218107073&amp;2218107073</v>
      </c>
      <c r="F418" s="3" t="str">
        <f t="shared" si="27"/>
        <v>哑资源设备_415</v>
      </c>
      <c r="G418" s="10" t="s">
        <v>406</v>
      </c>
      <c r="H418" s="3" t="str">
        <f>"检测机架"&amp;INDEX([1]机架!$D:$D,C418+3)&amp;IF(D418&lt;&gt;"","和"&amp;INDEX([1]机架!$D:$D,D418+3),"")&amp;"的数据"</f>
        <v>检测机架吾山南逯の机架-4和吾山南逯の机架-5的数据</v>
      </c>
      <c r="I418" s="3">
        <f>INDEX([1]机架!$C:$C,C418+3)</f>
        <v>3707018121</v>
      </c>
      <c r="J418" s="3">
        <f>IF(D418&lt;&gt;"",INDEX([1]机架!$C:$C,D418+3),0)</f>
        <v>3707018122</v>
      </c>
    </row>
    <row r="419" spans="1:10" ht="16.5" x14ac:dyDescent="0.2">
      <c r="A419" s="3" t="s">
        <v>393</v>
      </c>
      <c r="B419" s="3">
        <v>416</v>
      </c>
      <c r="C419" s="3">
        <f t="shared" si="25"/>
        <v>831</v>
      </c>
      <c r="D419" s="3">
        <f t="shared" si="26"/>
        <v>832</v>
      </c>
      <c r="E419" s="3" t="str">
        <f t="shared" si="24"/>
        <v>dump:3218107073&amp;1318107073</v>
      </c>
      <c r="F419" s="3" t="str">
        <f t="shared" si="27"/>
        <v>哑资源设备_416</v>
      </c>
      <c r="G419" s="10" t="s">
        <v>406</v>
      </c>
      <c r="H419" s="3" t="str">
        <f>"检测机架"&amp;INDEX([1]机架!$D:$D,C419+3)&amp;IF(D419&lt;&gt;"","和"&amp;INDEX([1]机架!$D:$D,D419+3),"")&amp;"的数据"</f>
        <v>检测机架吾山南逯の机架-6和吾山南逯の机架-7的数据</v>
      </c>
      <c r="I419" s="3">
        <f>INDEX([1]机架!$C:$C,C419+3)</f>
        <v>3707018123</v>
      </c>
      <c r="J419" s="3">
        <f>IF(D419&lt;&gt;"",INDEX([1]机架!$C:$C,D419+3),0)</f>
        <v>3707018131</v>
      </c>
    </row>
    <row r="420" spans="1:10" ht="16.5" x14ac:dyDescent="0.2">
      <c r="A420" s="3" t="s">
        <v>393</v>
      </c>
      <c r="B420" s="3">
        <v>417</v>
      </c>
      <c r="C420" s="3">
        <f t="shared" si="25"/>
        <v>833</v>
      </c>
      <c r="D420" s="3">
        <f t="shared" si="26"/>
        <v>834</v>
      </c>
      <c r="E420" s="3" t="str">
        <f t="shared" si="24"/>
        <v>dump:2318107073&amp;3318107073</v>
      </c>
      <c r="F420" s="3" t="str">
        <f t="shared" si="27"/>
        <v>哑资源设备_417</v>
      </c>
      <c r="G420" s="10" t="s">
        <v>406</v>
      </c>
      <c r="H420" s="3" t="str">
        <f>"检测机架"&amp;INDEX([1]机架!$D:$D,C420+3)&amp;IF(D420&lt;&gt;"","和"&amp;INDEX([1]机架!$D:$D,D420+3),"")&amp;"的数据"</f>
        <v>检测机架吾山南逯の机架-8和吾山南逯の机架-9的数据</v>
      </c>
      <c r="I420" s="3">
        <f>INDEX([1]机架!$C:$C,C420+3)</f>
        <v>3707018132</v>
      </c>
      <c r="J420" s="3">
        <f>IF(D420&lt;&gt;"",INDEX([1]机架!$C:$C,D420+3),0)</f>
        <v>3707018133</v>
      </c>
    </row>
    <row r="421" spans="1:10" ht="16.5" x14ac:dyDescent="0.2">
      <c r="A421" s="3" t="s">
        <v>393</v>
      </c>
      <c r="B421" s="3">
        <v>418</v>
      </c>
      <c r="C421" s="3">
        <f t="shared" si="25"/>
        <v>835</v>
      </c>
      <c r="D421" s="3">
        <f t="shared" si="26"/>
        <v>836</v>
      </c>
      <c r="E421" s="3" t="str">
        <f t="shared" si="24"/>
        <v>dump:1111008073&amp;2111008073</v>
      </c>
      <c r="F421" s="3" t="str">
        <f t="shared" si="27"/>
        <v>哑资源设备_418</v>
      </c>
      <c r="G421" s="10" t="s">
        <v>406</v>
      </c>
      <c r="H421" s="3" t="str">
        <f>"检测机架"&amp;INDEX([1]机架!$D:$D,C421+3)&amp;IF(D421&lt;&gt;"","和"&amp;INDEX([1]机架!$D:$D,D421+3),"")&amp;"的数据"</f>
        <v>检测机架济宁洸河路の机架-1和济宁洸河路の机架-2的数据</v>
      </c>
      <c r="I421" s="3">
        <f>INDEX([1]机架!$C:$C,C421+3)</f>
        <v>3708001111</v>
      </c>
      <c r="J421" s="3">
        <f>IF(D421&lt;&gt;"",INDEX([1]机架!$C:$C,D421+3),0)</f>
        <v>3708001112</v>
      </c>
    </row>
    <row r="422" spans="1:10" ht="16.5" x14ac:dyDescent="0.2">
      <c r="A422" s="3" t="s">
        <v>393</v>
      </c>
      <c r="B422" s="3">
        <v>419</v>
      </c>
      <c r="C422" s="3">
        <f t="shared" si="25"/>
        <v>837</v>
      </c>
      <c r="D422" s="3">
        <f t="shared" si="26"/>
        <v>838</v>
      </c>
      <c r="E422" s="3" t="str">
        <f t="shared" si="24"/>
        <v>dump:3111008073&amp;1211008073</v>
      </c>
      <c r="F422" s="3" t="str">
        <f t="shared" si="27"/>
        <v>哑资源设备_419</v>
      </c>
      <c r="G422" s="10" t="s">
        <v>406</v>
      </c>
      <c r="H422" s="3" t="str">
        <f>"检测机架"&amp;INDEX([1]机架!$D:$D,C422+3)&amp;IF(D422&lt;&gt;"","和"&amp;INDEX([1]机架!$D:$D,D422+3),"")&amp;"的数据"</f>
        <v>检测机架济宁洸河路の机架-3和济宁洸河路の机架-4的数据</v>
      </c>
      <c r="I422" s="3">
        <f>INDEX([1]机架!$C:$C,C422+3)</f>
        <v>3708001113</v>
      </c>
      <c r="J422" s="3">
        <f>IF(D422&lt;&gt;"",INDEX([1]机架!$C:$C,D422+3),0)</f>
        <v>3708001121</v>
      </c>
    </row>
    <row r="423" spans="1:10" ht="16.5" x14ac:dyDescent="0.2">
      <c r="A423" s="3" t="s">
        <v>393</v>
      </c>
      <c r="B423" s="3">
        <v>420</v>
      </c>
      <c r="C423" s="3">
        <f t="shared" si="25"/>
        <v>839</v>
      </c>
      <c r="D423" s="3">
        <f t="shared" si="26"/>
        <v>840</v>
      </c>
      <c r="E423" s="3" t="str">
        <f t="shared" si="24"/>
        <v>dump:2211008073&amp;3211008073</v>
      </c>
      <c r="F423" s="3" t="str">
        <f t="shared" si="27"/>
        <v>哑资源设备_420</v>
      </c>
      <c r="G423" s="10" t="s">
        <v>406</v>
      </c>
      <c r="H423" s="3" t="str">
        <f>"检测机架"&amp;INDEX([1]机架!$D:$D,C423+3)&amp;IF(D423&lt;&gt;"","和"&amp;INDEX([1]机架!$D:$D,D423+3),"")&amp;"的数据"</f>
        <v>检测机架济宁洸河路の机架-5和济宁洸河路の机架-6的数据</v>
      </c>
      <c r="I423" s="3">
        <f>INDEX([1]机架!$C:$C,C423+3)</f>
        <v>3708001122</v>
      </c>
      <c r="J423" s="3">
        <f>IF(D423&lt;&gt;"",INDEX([1]机架!$C:$C,D423+3),0)</f>
        <v>3708001123</v>
      </c>
    </row>
    <row r="424" spans="1:10" ht="16.5" x14ac:dyDescent="0.2">
      <c r="A424" s="3" t="s">
        <v>393</v>
      </c>
      <c r="B424" s="3">
        <v>421</v>
      </c>
      <c r="C424" s="3">
        <f t="shared" si="25"/>
        <v>841</v>
      </c>
      <c r="D424" s="3">
        <f t="shared" si="26"/>
        <v>842</v>
      </c>
      <c r="E424" s="3" t="str">
        <f t="shared" si="24"/>
        <v>dump:1311008073&amp;2311008073</v>
      </c>
      <c r="F424" s="3" t="str">
        <f t="shared" si="27"/>
        <v>哑资源设备_421</v>
      </c>
      <c r="G424" s="10" t="s">
        <v>406</v>
      </c>
      <c r="H424" s="3" t="str">
        <f>"检测机架"&amp;INDEX([1]机架!$D:$D,C424+3)&amp;IF(D424&lt;&gt;"","和"&amp;INDEX([1]机架!$D:$D,D424+3),"")&amp;"的数据"</f>
        <v>检测机架济宁洸河路の机架-7和济宁洸河路の机架-8的数据</v>
      </c>
      <c r="I424" s="3">
        <f>INDEX([1]机架!$C:$C,C424+3)</f>
        <v>3708001131</v>
      </c>
      <c r="J424" s="3">
        <f>IF(D424&lt;&gt;"",INDEX([1]机架!$C:$C,D424+3),0)</f>
        <v>3708001132</v>
      </c>
    </row>
    <row r="425" spans="1:10" ht="16.5" x14ac:dyDescent="0.2">
      <c r="A425" s="3" t="s">
        <v>393</v>
      </c>
      <c r="B425" s="3">
        <v>422</v>
      </c>
      <c r="C425" s="3">
        <f t="shared" si="25"/>
        <v>843</v>
      </c>
      <c r="D425" s="3">
        <f t="shared" si="26"/>
        <v>844</v>
      </c>
      <c r="E425" s="3" t="str">
        <f t="shared" si="24"/>
        <v>dump:3311008073&amp;1121008073</v>
      </c>
      <c r="F425" s="3" t="str">
        <f t="shared" si="27"/>
        <v>哑资源设备_422</v>
      </c>
      <c r="G425" s="10" t="s">
        <v>406</v>
      </c>
      <c r="H425" s="3" t="str">
        <f>"检测机架"&amp;INDEX([1]机架!$D:$D,C425+3)&amp;IF(D425&lt;&gt;"","和"&amp;INDEX([1]机架!$D:$D,D425+3),"")&amp;"的数据"</f>
        <v>检测机架济宁洸河路の机架-9和济宁洸河路の机架-10的数据</v>
      </c>
      <c r="I425" s="3">
        <f>INDEX([1]机架!$C:$C,C425+3)</f>
        <v>3708001133</v>
      </c>
      <c r="J425" s="3">
        <f>IF(D425&lt;&gt;"",INDEX([1]机架!$C:$C,D425+3),0)</f>
        <v>3708001211</v>
      </c>
    </row>
    <row r="426" spans="1:10" ht="16.5" x14ac:dyDescent="0.2">
      <c r="A426" s="3" t="s">
        <v>393</v>
      </c>
      <c r="B426" s="3">
        <v>423</v>
      </c>
      <c r="C426" s="3">
        <f t="shared" si="25"/>
        <v>845</v>
      </c>
      <c r="D426" s="3">
        <f t="shared" si="26"/>
        <v>846</v>
      </c>
      <c r="E426" s="3" t="str">
        <f t="shared" si="24"/>
        <v>dump:2121008073&amp;3121008073</v>
      </c>
      <c r="F426" s="3" t="str">
        <f t="shared" si="27"/>
        <v>哑资源设备_423</v>
      </c>
      <c r="G426" s="10" t="s">
        <v>406</v>
      </c>
      <c r="H426" s="3" t="str">
        <f>"检测机架"&amp;INDEX([1]机架!$D:$D,C426+3)&amp;IF(D426&lt;&gt;"","和"&amp;INDEX([1]机架!$D:$D,D426+3),"")&amp;"的数据"</f>
        <v>检测机架济宁洸河路の机架-11和济宁洸河路の机架-12的数据</v>
      </c>
      <c r="I426" s="3">
        <f>INDEX([1]机架!$C:$C,C426+3)</f>
        <v>3708001212</v>
      </c>
      <c r="J426" s="3">
        <f>IF(D426&lt;&gt;"",INDEX([1]机架!$C:$C,D426+3),0)</f>
        <v>3708001213</v>
      </c>
    </row>
    <row r="427" spans="1:10" ht="16.5" x14ac:dyDescent="0.2">
      <c r="A427" s="3" t="s">
        <v>393</v>
      </c>
      <c r="B427" s="3">
        <v>424</v>
      </c>
      <c r="C427" s="3">
        <f t="shared" si="25"/>
        <v>847</v>
      </c>
      <c r="D427" s="3">
        <f t="shared" si="26"/>
        <v>848</v>
      </c>
      <c r="E427" s="3" t="str">
        <f t="shared" si="24"/>
        <v>dump:1221008073&amp;2221008073</v>
      </c>
      <c r="F427" s="3" t="str">
        <f t="shared" si="27"/>
        <v>哑资源设备_424</v>
      </c>
      <c r="G427" s="10" t="s">
        <v>406</v>
      </c>
      <c r="H427" s="3" t="str">
        <f>"检测机架"&amp;INDEX([1]机架!$D:$D,C427+3)&amp;IF(D427&lt;&gt;"","和"&amp;INDEX([1]机架!$D:$D,D427+3),"")&amp;"的数据"</f>
        <v>检测机架济宁洸河路の机架-13和济宁洸河路の机架-14的数据</v>
      </c>
      <c r="I427" s="3">
        <f>INDEX([1]机架!$C:$C,C427+3)</f>
        <v>3708001221</v>
      </c>
      <c r="J427" s="3">
        <f>IF(D427&lt;&gt;"",INDEX([1]机架!$C:$C,D427+3),0)</f>
        <v>3708001222</v>
      </c>
    </row>
    <row r="428" spans="1:10" ht="16.5" x14ac:dyDescent="0.2">
      <c r="A428" s="3" t="s">
        <v>393</v>
      </c>
      <c r="B428" s="3">
        <v>425</v>
      </c>
      <c r="C428" s="3">
        <f t="shared" si="25"/>
        <v>849</v>
      </c>
      <c r="D428" s="3">
        <f t="shared" si="26"/>
        <v>850</v>
      </c>
      <c r="E428" s="3" t="str">
        <f t="shared" si="24"/>
        <v>dump:3221008073&amp;1321008073</v>
      </c>
      <c r="F428" s="3" t="str">
        <f t="shared" si="27"/>
        <v>哑资源设备_425</v>
      </c>
      <c r="G428" s="10" t="s">
        <v>406</v>
      </c>
      <c r="H428" s="3" t="str">
        <f>"检测机架"&amp;INDEX([1]机架!$D:$D,C428+3)&amp;IF(D428&lt;&gt;"","和"&amp;INDEX([1]机架!$D:$D,D428+3),"")&amp;"的数据"</f>
        <v>检测机架济宁洸河路の机架-15和济宁洸河路の机架-16的数据</v>
      </c>
      <c r="I428" s="3">
        <f>INDEX([1]机架!$C:$C,C428+3)</f>
        <v>3708001223</v>
      </c>
      <c r="J428" s="3">
        <f>IF(D428&lt;&gt;"",INDEX([1]机架!$C:$C,D428+3),0)</f>
        <v>3708001231</v>
      </c>
    </row>
    <row r="429" spans="1:10" ht="16.5" x14ac:dyDescent="0.2">
      <c r="A429" s="3" t="s">
        <v>393</v>
      </c>
      <c r="B429" s="3">
        <v>426</v>
      </c>
      <c r="C429" s="3">
        <f t="shared" si="25"/>
        <v>851</v>
      </c>
      <c r="D429" s="3">
        <f t="shared" si="26"/>
        <v>852</v>
      </c>
      <c r="E429" s="3" t="str">
        <f t="shared" si="24"/>
        <v>dump:2321008073&amp;3321008073</v>
      </c>
      <c r="F429" s="3" t="str">
        <f t="shared" si="27"/>
        <v>哑资源设备_426</v>
      </c>
      <c r="G429" s="10" t="s">
        <v>406</v>
      </c>
      <c r="H429" s="3" t="str">
        <f>"检测机架"&amp;INDEX([1]机架!$D:$D,C429+3)&amp;IF(D429&lt;&gt;"","和"&amp;INDEX([1]机架!$D:$D,D429+3),"")&amp;"的数据"</f>
        <v>检测机架济宁洸河路の机架-17和济宁洸河路の机架-18的数据</v>
      </c>
      <c r="I429" s="3">
        <f>INDEX([1]机架!$C:$C,C429+3)</f>
        <v>3708001232</v>
      </c>
      <c r="J429" s="3">
        <f>IF(D429&lt;&gt;"",INDEX([1]机架!$C:$C,D429+3),0)</f>
        <v>3708001233</v>
      </c>
    </row>
    <row r="430" spans="1:10" ht="16.5" x14ac:dyDescent="0.2">
      <c r="A430" s="3" t="s">
        <v>393</v>
      </c>
      <c r="B430" s="3">
        <v>427</v>
      </c>
      <c r="C430" s="3">
        <f t="shared" si="25"/>
        <v>853</v>
      </c>
      <c r="D430" s="3">
        <f t="shared" si="26"/>
        <v>854</v>
      </c>
      <c r="E430" s="3" t="str">
        <f t="shared" si="24"/>
        <v>dump:1112008073&amp;2112008073</v>
      </c>
      <c r="F430" s="3" t="str">
        <f t="shared" si="27"/>
        <v>哑资源设备_427</v>
      </c>
      <c r="G430" s="10" t="s">
        <v>406</v>
      </c>
      <c r="H430" s="3" t="str">
        <f>"检测机架"&amp;INDEX([1]机架!$D:$D,C430+3)&amp;IF(D430&lt;&gt;"","和"&amp;INDEX([1]机架!$D:$D,D430+3),"")&amp;"的数据"</f>
        <v>检测机架济宁红星东路の机架-1和济宁红星东路の机架-2的数据</v>
      </c>
      <c r="I430" s="3">
        <f>INDEX([1]机架!$C:$C,C430+3)</f>
        <v>3708002111</v>
      </c>
      <c r="J430" s="3">
        <f>IF(D430&lt;&gt;"",INDEX([1]机架!$C:$C,D430+3),0)</f>
        <v>3708002112</v>
      </c>
    </row>
    <row r="431" spans="1:10" ht="16.5" x14ac:dyDescent="0.2">
      <c r="A431" s="3" t="s">
        <v>393</v>
      </c>
      <c r="B431" s="3">
        <v>428</v>
      </c>
      <c r="C431" s="3">
        <f t="shared" si="25"/>
        <v>855</v>
      </c>
      <c r="D431" s="3">
        <f t="shared" si="26"/>
        <v>856</v>
      </c>
      <c r="E431" s="3" t="str">
        <f t="shared" si="24"/>
        <v>dump:3112008073&amp;1212008073</v>
      </c>
      <c r="F431" s="3" t="str">
        <f t="shared" si="27"/>
        <v>哑资源设备_428</v>
      </c>
      <c r="G431" s="10" t="s">
        <v>406</v>
      </c>
      <c r="H431" s="3" t="str">
        <f>"检测机架"&amp;INDEX([1]机架!$D:$D,C431+3)&amp;IF(D431&lt;&gt;"","和"&amp;INDEX([1]机架!$D:$D,D431+3),"")&amp;"的数据"</f>
        <v>检测机架济宁红星东路の机架-3和济宁红星东路の机架-4的数据</v>
      </c>
      <c r="I431" s="3">
        <f>INDEX([1]机架!$C:$C,C431+3)</f>
        <v>3708002113</v>
      </c>
      <c r="J431" s="3">
        <f>IF(D431&lt;&gt;"",INDEX([1]机架!$C:$C,D431+3),0)</f>
        <v>3708002121</v>
      </c>
    </row>
    <row r="432" spans="1:10" ht="16.5" x14ac:dyDescent="0.2">
      <c r="A432" s="3" t="s">
        <v>393</v>
      </c>
      <c r="B432" s="3">
        <v>429</v>
      </c>
      <c r="C432" s="3">
        <f t="shared" si="25"/>
        <v>857</v>
      </c>
      <c r="D432" s="3">
        <f t="shared" si="26"/>
        <v>858</v>
      </c>
      <c r="E432" s="3" t="str">
        <f t="shared" si="24"/>
        <v>dump:2212008073&amp;3212008073</v>
      </c>
      <c r="F432" s="3" t="str">
        <f t="shared" si="27"/>
        <v>哑资源设备_429</v>
      </c>
      <c r="G432" s="10" t="s">
        <v>406</v>
      </c>
      <c r="H432" s="3" t="str">
        <f>"检测机架"&amp;INDEX([1]机架!$D:$D,C432+3)&amp;IF(D432&lt;&gt;"","和"&amp;INDEX([1]机架!$D:$D,D432+3),"")&amp;"的数据"</f>
        <v>检测机架济宁红星东路の机架-5和济宁红星东路の机架-6的数据</v>
      </c>
      <c r="I432" s="3">
        <f>INDEX([1]机架!$C:$C,C432+3)</f>
        <v>3708002122</v>
      </c>
      <c r="J432" s="3">
        <f>IF(D432&lt;&gt;"",INDEX([1]机架!$C:$C,D432+3),0)</f>
        <v>3708002123</v>
      </c>
    </row>
    <row r="433" spans="1:10" ht="16.5" x14ac:dyDescent="0.2">
      <c r="A433" s="3" t="s">
        <v>393</v>
      </c>
      <c r="B433" s="3">
        <v>430</v>
      </c>
      <c r="C433" s="3">
        <f t="shared" si="25"/>
        <v>859</v>
      </c>
      <c r="D433" s="3">
        <f t="shared" si="26"/>
        <v>860</v>
      </c>
      <c r="E433" s="3" t="str">
        <f t="shared" si="24"/>
        <v>dump:1312008073&amp;2312008073</v>
      </c>
      <c r="F433" s="3" t="str">
        <f t="shared" si="27"/>
        <v>哑资源设备_430</v>
      </c>
      <c r="G433" s="10" t="s">
        <v>406</v>
      </c>
      <c r="H433" s="3" t="str">
        <f>"检测机架"&amp;INDEX([1]机架!$D:$D,C433+3)&amp;IF(D433&lt;&gt;"","和"&amp;INDEX([1]机架!$D:$D,D433+3),"")&amp;"的数据"</f>
        <v>检测机架济宁红星东路の机架-7和济宁红星东路の机架-8的数据</v>
      </c>
      <c r="I433" s="3">
        <f>INDEX([1]机架!$C:$C,C433+3)</f>
        <v>3708002131</v>
      </c>
      <c r="J433" s="3">
        <f>IF(D433&lt;&gt;"",INDEX([1]机架!$C:$C,D433+3),0)</f>
        <v>3708002132</v>
      </c>
    </row>
    <row r="434" spans="1:10" ht="16.5" x14ac:dyDescent="0.2">
      <c r="A434" s="3" t="s">
        <v>393</v>
      </c>
      <c r="B434" s="3">
        <v>431</v>
      </c>
      <c r="C434" s="3">
        <f t="shared" si="25"/>
        <v>861</v>
      </c>
      <c r="D434" s="3">
        <f t="shared" si="26"/>
        <v>862</v>
      </c>
      <c r="E434" s="3" t="str">
        <f t="shared" si="24"/>
        <v>dump:3312008073&amp;1113008073</v>
      </c>
      <c r="F434" s="3" t="str">
        <f t="shared" si="27"/>
        <v>哑资源设备_431</v>
      </c>
      <c r="G434" s="10" t="s">
        <v>406</v>
      </c>
      <c r="H434" s="3" t="str">
        <f>"检测机架"&amp;INDEX([1]机架!$D:$D,C434+3)&amp;IF(D434&lt;&gt;"","和"&amp;INDEX([1]机架!$D:$D,D434+3),"")&amp;"的数据"</f>
        <v>检测机架济宁红星东路の机架-9和兖州九仙桥路の机架-1的数据</v>
      </c>
      <c r="I434" s="3">
        <f>INDEX([1]机架!$C:$C,C434+3)</f>
        <v>3708002133</v>
      </c>
      <c r="J434" s="3">
        <f>IF(D434&lt;&gt;"",INDEX([1]机架!$C:$C,D434+3),0)</f>
        <v>3708003111</v>
      </c>
    </row>
    <row r="435" spans="1:10" ht="16.5" x14ac:dyDescent="0.2">
      <c r="A435" s="3" t="s">
        <v>393</v>
      </c>
      <c r="B435" s="3">
        <v>432</v>
      </c>
      <c r="C435" s="3">
        <f t="shared" si="25"/>
        <v>863</v>
      </c>
      <c r="D435" s="3">
        <f t="shared" si="26"/>
        <v>864</v>
      </c>
      <c r="E435" s="3" t="str">
        <f t="shared" si="24"/>
        <v>dump:2113008073&amp;3113008073</v>
      </c>
      <c r="F435" s="3" t="str">
        <f t="shared" si="27"/>
        <v>哑资源设备_432</v>
      </c>
      <c r="G435" s="10" t="s">
        <v>406</v>
      </c>
      <c r="H435" s="3" t="str">
        <f>"检测机架"&amp;INDEX([1]机架!$D:$D,C435+3)&amp;IF(D435&lt;&gt;"","和"&amp;INDEX([1]机架!$D:$D,D435+3),"")&amp;"的数据"</f>
        <v>检测机架兖州九仙桥路の机架-2和兖州九仙桥路の机架-3的数据</v>
      </c>
      <c r="I435" s="3">
        <f>INDEX([1]机架!$C:$C,C435+3)</f>
        <v>3708003112</v>
      </c>
      <c r="J435" s="3">
        <f>IF(D435&lt;&gt;"",INDEX([1]机架!$C:$C,D435+3),0)</f>
        <v>3708003113</v>
      </c>
    </row>
    <row r="436" spans="1:10" ht="16.5" x14ac:dyDescent="0.2">
      <c r="A436" s="3" t="s">
        <v>393</v>
      </c>
      <c r="B436" s="3">
        <v>433</v>
      </c>
      <c r="C436" s="3">
        <f t="shared" si="25"/>
        <v>865</v>
      </c>
      <c r="D436" s="3">
        <f t="shared" si="26"/>
        <v>866</v>
      </c>
      <c r="E436" s="3" t="str">
        <f t="shared" si="24"/>
        <v>dump:1213008073&amp;2213008073</v>
      </c>
      <c r="F436" s="3" t="str">
        <f t="shared" si="27"/>
        <v>哑资源设备_433</v>
      </c>
      <c r="G436" s="10" t="s">
        <v>406</v>
      </c>
      <c r="H436" s="3" t="str">
        <f>"检测机架"&amp;INDEX([1]机架!$D:$D,C436+3)&amp;IF(D436&lt;&gt;"","和"&amp;INDEX([1]机架!$D:$D,D436+3),"")&amp;"的数据"</f>
        <v>检测机架兖州九仙桥路の机架-4和兖州九仙桥路の机架-5的数据</v>
      </c>
      <c r="I436" s="3">
        <f>INDEX([1]机架!$C:$C,C436+3)</f>
        <v>3708003121</v>
      </c>
      <c r="J436" s="3">
        <f>IF(D436&lt;&gt;"",INDEX([1]机架!$C:$C,D436+3),0)</f>
        <v>3708003122</v>
      </c>
    </row>
    <row r="437" spans="1:10" ht="16.5" x14ac:dyDescent="0.2">
      <c r="A437" s="3" t="s">
        <v>393</v>
      </c>
      <c r="B437" s="3">
        <v>434</v>
      </c>
      <c r="C437" s="3">
        <f t="shared" si="25"/>
        <v>867</v>
      </c>
      <c r="D437" s="3">
        <f t="shared" si="26"/>
        <v>868</v>
      </c>
      <c r="E437" s="3" t="str">
        <f t="shared" si="24"/>
        <v>dump:3213008073&amp;1313008073</v>
      </c>
      <c r="F437" s="3" t="str">
        <f t="shared" si="27"/>
        <v>哑资源设备_434</v>
      </c>
      <c r="G437" s="10" t="s">
        <v>406</v>
      </c>
      <c r="H437" s="3" t="str">
        <f>"检测机架"&amp;INDEX([1]机架!$D:$D,C437+3)&amp;IF(D437&lt;&gt;"","和"&amp;INDEX([1]机架!$D:$D,D437+3),"")&amp;"的数据"</f>
        <v>检测机架兖州九仙桥路の机架-6和兖州九仙桥路の机架-7的数据</v>
      </c>
      <c r="I437" s="3">
        <f>INDEX([1]机架!$C:$C,C437+3)</f>
        <v>3708003123</v>
      </c>
      <c r="J437" s="3">
        <f>IF(D437&lt;&gt;"",INDEX([1]机架!$C:$C,D437+3),0)</f>
        <v>3708003131</v>
      </c>
    </row>
    <row r="438" spans="1:10" ht="16.5" x14ac:dyDescent="0.2">
      <c r="A438" s="3" t="s">
        <v>393</v>
      </c>
      <c r="B438" s="3">
        <v>435</v>
      </c>
      <c r="C438" s="3">
        <f t="shared" si="25"/>
        <v>869</v>
      </c>
      <c r="D438" s="3">
        <f t="shared" si="26"/>
        <v>870</v>
      </c>
      <c r="E438" s="3" t="str">
        <f t="shared" si="24"/>
        <v>dump:2313008073&amp;3313008073</v>
      </c>
      <c r="F438" s="3" t="str">
        <f t="shared" si="27"/>
        <v>哑资源设备_435</v>
      </c>
      <c r="G438" s="10" t="s">
        <v>406</v>
      </c>
      <c r="H438" s="3" t="str">
        <f>"检测机架"&amp;INDEX([1]机架!$D:$D,C438+3)&amp;IF(D438&lt;&gt;"","和"&amp;INDEX([1]机架!$D:$D,D438+3),"")&amp;"的数据"</f>
        <v>检测机架兖州九仙桥路の机架-8和兖州九仙桥路の机架-9的数据</v>
      </c>
      <c r="I438" s="3">
        <f>INDEX([1]机架!$C:$C,C438+3)</f>
        <v>3708003132</v>
      </c>
      <c r="J438" s="3">
        <f>IF(D438&lt;&gt;"",INDEX([1]机架!$C:$C,D438+3),0)</f>
        <v>3708003133</v>
      </c>
    </row>
    <row r="439" spans="1:10" ht="16.5" x14ac:dyDescent="0.2">
      <c r="A439" s="3" t="s">
        <v>393</v>
      </c>
      <c r="B439" s="3">
        <v>436</v>
      </c>
      <c r="C439" s="3">
        <f t="shared" si="25"/>
        <v>871</v>
      </c>
      <c r="D439" s="3">
        <f t="shared" si="26"/>
        <v>872</v>
      </c>
      <c r="E439" s="3" t="str">
        <f t="shared" si="24"/>
        <v>dump:1114008073&amp;2114008073</v>
      </c>
      <c r="F439" s="3" t="str">
        <f t="shared" si="27"/>
        <v>哑资源设备_436</v>
      </c>
      <c r="G439" s="10" t="s">
        <v>406</v>
      </c>
      <c r="H439" s="3" t="str">
        <f>"检测机架"&amp;INDEX([1]机架!$D:$D,C439+3)&amp;IF(D439&lt;&gt;"","和"&amp;INDEX([1]机架!$D:$D,D439+3),"")&amp;"的数据"</f>
        <v>检测机架兖州建设路の机架-1和兖州建设路の机架-2的数据</v>
      </c>
      <c r="I439" s="3">
        <f>INDEX([1]机架!$C:$C,C439+3)</f>
        <v>3708004111</v>
      </c>
      <c r="J439" s="3">
        <f>IF(D439&lt;&gt;"",INDEX([1]机架!$C:$C,D439+3),0)</f>
        <v>3708004112</v>
      </c>
    </row>
    <row r="440" spans="1:10" ht="16.5" x14ac:dyDescent="0.2">
      <c r="A440" s="3" t="s">
        <v>393</v>
      </c>
      <c r="B440" s="3">
        <v>437</v>
      </c>
      <c r="C440" s="3">
        <f t="shared" si="25"/>
        <v>873</v>
      </c>
      <c r="D440" s="3">
        <f t="shared" si="26"/>
        <v>874</v>
      </c>
      <c r="E440" s="3" t="str">
        <f t="shared" si="24"/>
        <v>dump:3114008073&amp;1214008073</v>
      </c>
      <c r="F440" s="3" t="str">
        <f t="shared" si="27"/>
        <v>哑资源设备_437</v>
      </c>
      <c r="G440" s="10" t="s">
        <v>406</v>
      </c>
      <c r="H440" s="3" t="str">
        <f>"检测机架"&amp;INDEX([1]机架!$D:$D,C440+3)&amp;IF(D440&lt;&gt;"","和"&amp;INDEX([1]机架!$D:$D,D440+3),"")&amp;"的数据"</f>
        <v>检测机架兖州建设路の机架-3和兖州建设路の机架-4的数据</v>
      </c>
      <c r="I440" s="3">
        <f>INDEX([1]机架!$C:$C,C440+3)</f>
        <v>3708004113</v>
      </c>
      <c r="J440" s="3">
        <f>IF(D440&lt;&gt;"",INDEX([1]机架!$C:$C,D440+3),0)</f>
        <v>3708004121</v>
      </c>
    </row>
    <row r="441" spans="1:10" ht="16.5" x14ac:dyDescent="0.2">
      <c r="A441" s="3" t="s">
        <v>393</v>
      </c>
      <c r="B441" s="3">
        <v>438</v>
      </c>
      <c r="C441" s="3">
        <f t="shared" si="25"/>
        <v>875</v>
      </c>
      <c r="D441" s="3">
        <f t="shared" si="26"/>
        <v>876</v>
      </c>
      <c r="E441" s="3" t="str">
        <f t="shared" si="24"/>
        <v>dump:2214008073&amp;3214008073</v>
      </c>
      <c r="F441" s="3" t="str">
        <f t="shared" si="27"/>
        <v>哑资源设备_438</v>
      </c>
      <c r="G441" s="10" t="s">
        <v>406</v>
      </c>
      <c r="H441" s="3" t="str">
        <f>"检测机架"&amp;INDEX([1]机架!$D:$D,C441+3)&amp;IF(D441&lt;&gt;"","和"&amp;INDEX([1]机架!$D:$D,D441+3),"")&amp;"的数据"</f>
        <v>检测机架兖州建设路の机架-5和兖州建设路の机架-6的数据</v>
      </c>
      <c r="I441" s="3">
        <f>INDEX([1]机架!$C:$C,C441+3)</f>
        <v>3708004122</v>
      </c>
      <c r="J441" s="3">
        <f>IF(D441&lt;&gt;"",INDEX([1]机架!$C:$C,D441+3),0)</f>
        <v>3708004123</v>
      </c>
    </row>
    <row r="442" spans="1:10" ht="16.5" x14ac:dyDescent="0.2">
      <c r="A442" s="3" t="s">
        <v>393</v>
      </c>
      <c r="B442" s="3">
        <v>439</v>
      </c>
      <c r="C442" s="3">
        <f t="shared" si="25"/>
        <v>877</v>
      </c>
      <c r="D442" s="3">
        <f t="shared" si="26"/>
        <v>878</v>
      </c>
      <c r="E442" s="3" t="str">
        <f t="shared" si="24"/>
        <v>dump:1314008073&amp;2314008073</v>
      </c>
      <c r="F442" s="3" t="str">
        <f t="shared" si="27"/>
        <v>哑资源设备_439</v>
      </c>
      <c r="G442" s="10" t="s">
        <v>406</v>
      </c>
      <c r="H442" s="3" t="str">
        <f>"检测机架"&amp;INDEX([1]机架!$D:$D,C442+3)&amp;IF(D442&lt;&gt;"","和"&amp;INDEX([1]机架!$D:$D,D442+3),"")&amp;"的数据"</f>
        <v>检测机架兖州建设路の机架-7和兖州建设路の机架-8的数据</v>
      </c>
      <c r="I442" s="3">
        <f>INDEX([1]机架!$C:$C,C442+3)</f>
        <v>3708004131</v>
      </c>
      <c r="J442" s="3">
        <f>IF(D442&lt;&gt;"",INDEX([1]机架!$C:$C,D442+3),0)</f>
        <v>3708004132</v>
      </c>
    </row>
    <row r="443" spans="1:10" ht="16.5" x14ac:dyDescent="0.2">
      <c r="A443" s="3" t="s">
        <v>393</v>
      </c>
      <c r="B443" s="3">
        <v>440</v>
      </c>
      <c r="C443" s="3">
        <f t="shared" si="25"/>
        <v>879</v>
      </c>
      <c r="D443" s="3">
        <f t="shared" si="26"/>
        <v>880</v>
      </c>
      <c r="E443" s="3" t="str">
        <f t="shared" si="24"/>
        <v>dump:3314008073&amp;1115008073</v>
      </c>
      <c r="F443" s="3" t="str">
        <f t="shared" si="27"/>
        <v>哑资源设备_440</v>
      </c>
      <c r="G443" s="10" t="s">
        <v>406</v>
      </c>
      <c r="H443" s="3" t="str">
        <f>"检测机架"&amp;INDEX([1]机架!$D:$D,C443+3)&amp;IF(D443&lt;&gt;"","和"&amp;INDEX([1]机架!$D:$D,D443+3),"")&amp;"的数据"</f>
        <v>检测机架兖州建设路の机架-9和邹城太平西路の机架-1的数据</v>
      </c>
      <c r="I443" s="3">
        <f>INDEX([1]机架!$C:$C,C443+3)</f>
        <v>3708004133</v>
      </c>
      <c r="J443" s="3">
        <f>IF(D443&lt;&gt;"",INDEX([1]机架!$C:$C,D443+3),0)</f>
        <v>3708005111</v>
      </c>
    </row>
    <row r="444" spans="1:10" ht="16.5" x14ac:dyDescent="0.2">
      <c r="A444" s="3" t="s">
        <v>393</v>
      </c>
      <c r="B444" s="3">
        <v>441</v>
      </c>
      <c r="C444" s="3">
        <f t="shared" si="25"/>
        <v>881</v>
      </c>
      <c r="D444" s="3">
        <f t="shared" si="26"/>
        <v>882</v>
      </c>
      <c r="E444" s="3" t="str">
        <f t="shared" si="24"/>
        <v>dump:2115008073&amp;3115008073</v>
      </c>
      <c r="F444" s="3" t="str">
        <f t="shared" si="27"/>
        <v>哑资源设备_441</v>
      </c>
      <c r="G444" s="10" t="s">
        <v>406</v>
      </c>
      <c r="H444" s="3" t="str">
        <f>"检测机架"&amp;INDEX([1]机架!$D:$D,C444+3)&amp;IF(D444&lt;&gt;"","和"&amp;INDEX([1]机架!$D:$D,D444+3),"")&amp;"的数据"</f>
        <v>检测机架邹城太平西路の机架-2和邹城太平西路の机架-3的数据</v>
      </c>
      <c r="I444" s="3">
        <f>INDEX([1]机架!$C:$C,C444+3)</f>
        <v>3708005112</v>
      </c>
      <c r="J444" s="3">
        <f>IF(D444&lt;&gt;"",INDEX([1]机架!$C:$C,D444+3),0)</f>
        <v>3708005113</v>
      </c>
    </row>
    <row r="445" spans="1:10" ht="16.5" x14ac:dyDescent="0.2">
      <c r="A445" s="3" t="s">
        <v>393</v>
      </c>
      <c r="B445" s="3">
        <v>442</v>
      </c>
      <c r="C445" s="3">
        <f t="shared" si="25"/>
        <v>883</v>
      </c>
      <c r="D445" s="3">
        <f t="shared" si="26"/>
        <v>884</v>
      </c>
      <c r="E445" s="3" t="str">
        <f t="shared" si="24"/>
        <v>dump:1215008073&amp;2215008073</v>
      </c>
      <c r="F445" s="3" t="str">
        <f t="shared" si="27"/>
        <v>哑资源设备_442</v>
      </c>
      <c r="G445" s="10" t="s">
        <v>406</v>
      </c>
      <c r="H445" s="3" t="str">
        <f>"检测机架"&amp;INDEX([1]机架!$D:$D,C445+3)&amp;IF(D445&lt;&gt;"","和"&amp;INDEX([1]机架!$D:$D,D445+3),"")&amp;"的数据"</f>
        <v>检测机架邹城太平西路の机架-4和邹城太平西路の机架-5的数据</v>
      </c>
      <c r="I445" s="3">
        <f>INDEX([1]机架!$C:$C,C445+3)</f>
        <v>3708005121</v>
      </c>
      <c r="J445" s="3">
        <f>IF(D445&lt;&gt;"",INDEX([1]机架!$C:$C,D445+3),0)</f>
        <v>3708005122</v>
      </c>
    </row>
    <row r="446" spans="1:10" ht="16.5" x14ac:dyDescent="0.2">
      <c r="A446" s="3" t="s">
        <v>393</v>
      </c>
      <c r="B446" s="3">
        <v>443</v>
      </c>
      <c r="C446" s="3">
        <f t="shared" si="25"/>
        <v>885</v>
      </c>
      <c r="D446" s="3">
        <f t="shared" si="26"/>
        <v>886</v>
      </c>
      <c r="E446" s="3" t="str">
        <f t="shared" si="24"/>
        <v>dump:3215008073&amp;1315008073</v>
      </c>
      <c r="F446" s="3" t="str">
        <f t="shared" si="27"/>
        <v>哑资源设备_443</v>
      </c>
      <c r="G446" s="10" t="s">
        <v>406</v>
      </c>
      <c r="H446" s="3" t="str">
        <f>"检测机架"&amp;INDEX([1]机架!$D:$D,C446+3)&amp;IF(D446&lt;&gt;"","和"&amp;INDEX([1]机架!$D:$D,D446+3),"")&amp;"的数据"</f>
        <v>检测机架邹城太平西路の机架-6和邹城太平西路の机架-7的数据</v>
      </c>
      <c r="I446" s="3">
        <f>INDEX([1]机架!$C:$C,C446+3)</f>
        <v>3708005123</v>
      </c>
      <c r="J446" s="3">
        <f>IF(D446&lt;&gt;"",INDEX([1]机架!$C:$C,D446+3),0)</f>
        <v>3708005131</v>
      </c>
    </row>
    <row r="447" spans="1:10" ht="16.5" x14ac:dyDescent="0.2">
      <c r="A447" s="3" t="s">
        <v>393</v>
      </c>
      <c r="B447" s="3">
        <v>444</v>
      </c>
      <c r="C447" s="3">
        <f t="shared" si="25"/>
        <v>887</v>
      </c>
      <c r="D447" s="3">
        <f t="shared" si="26"/>
        <v>888</v>
      </c>
      <c r="E447" s="3" t="str">
        <f t="shared" si="24"/>
        <v>dump:2315008073&amp;3315008073</v>
      </c>
      <c r="F447" s="3" t="str">
        <f t="shared" si="27"/>
        <v>哑资源设备_444</v>
      </c>
      <c r="G447" s="10" t="s">
        <v>406</v>
      </c>
      <c r="H447" s="3" t="str">
        <f>"检测机架"&amp;INDEX([1]机架!$D:$D,C447+3)&amp;IF(D447&lt;&gt;"","和"&amp;INDEX([1]机架!$D:$D,D447+3),"")&amp;"的数据"</f>
        <v>检测机架邹城太平西路の机架-8和邹城太平西路の机架-9的数据</v>
      </c>
      <c r="I447" s="3">
        <f>INDEX([1]机架!$C:$C,C447+3)</f>
        <v>3708005132</v>
      </c>
      <c r="J447" s="3">
        <f>IF(D447&lt;&gt;"",INDEX([1]机架!$C:$C,D447+3),0)</f>
        <v>3708005133</v>
      </c>
    </row>
    <row r="448" spans="1:10" ht="16.5" x14ac:dyDescent="0.2">
      <c r="A448" s="3" t="s">
        <v>393</v>
      </c>
      <c r="B448" s="3">
        <v>445</v>
      </c>
      <c r="C448" s="3">
        <f t="shared" si="25"/>
        <v>889</v>
      </c>
      <c r="D448" s="3">
        <f t="shared" si="26"/>
        <v>890</v>
      </c>
      <c r="E448" s="3" t="str">
        <f t="shared" si="24"/>
        <v>dump:1116008073&amp;2116008073</v>
      </c>
      <c r="F448" s="3" t="str">
        <f t="shared" si="27"/>
        <v>哑资源设备_445</v>
      </c>
      <c r="G448" s="10" t="s">
        <v>406</v>
      </c>
      <c r="H448" s="3" t="str">
        <f>"检测机架"&amp;INDEX([1]机架!$D:$D,C448+3)&amp;IF(D448&lt;&gt;"","和"&amp;INDEX([1]机架!$D:$D,D448+3),"")&amp;"的数据"</f>
        <v>检测机架曲阜鼓楼街の机架-1和曲阜鼓楼街の机架-2的数据</v>
      </c>
      <c r="I448" s="3">
        <f>INDEX([1]机架!$C:$C,C448+3)</f>
        <v>3708006111</v>
      </c>
      <c r="J448" s="3">
        <f>IF(D448&lt;&gt;"",INDEX([1]机架!$C:$C,D448+3),0)</f>
        <v>3708006112</v>
      </c>
    </row>
    <row r="449" spans="1:10" ht="16.5" x14ac:dyDescent="0.2">
      <c r="A449" s="3" t="s">
        <v>393</v>
      </c>
      <c r="B449" s="3">
        <v>446</v>
      </c>
      <c r="C449" s="3">
        <f t="shared" si="25"/>
        <v>891</v>
      </c>
      <c r="D449" s="3">
        <f t="shared" si="26"/>
        <v>892</v>
      </c>
      <c r="E449" s="3" t="str">
        <f t="shared" si="24"/>
        <v>dump:3116008073&amp;1216008073</v>
      </c>
      <c r="F449" s="3" t="str">
        <f t="shared" si="27"/>
        <v>哑资源设备_446</v>
      </c>
      <c r="G449" s="10" t="s">
        <v>406</v>
      </c>
      <c r="H449" s="3" t="str">
        <f>"检测机架"&amp;INDEX([1]机架!$D:$D,C449+3)&amp;IF(D449&lt;&gt;"","和"&amp;INDEX([1]机架!$D:$D,D449+3),"")&amp;"的数据"</f>
        <v>检测机架曲阜鼓楼街の机架-3和曲阜鼓楼街の机架-4的数据</v>
      </c>
      <c r="I449" s="3">
        <f>INDEX([1]机架!$C:$C,C449+3)</f>
        <v>3708006113</v>
      </c>
      <c r="J449" s="3">
        <f>IF(D449&lt;&gt;"",INDEX([1]机架!$C:$C,D449+3),0)</f>
        <v>3708006121</v>
      </c>
    </row>
    <row r="450" spans="1:10" ht="16.5" x14ac:dyDescent="0.2">
      <c r="A450" s="3" t="s">
        <v>393</v>
      </c>
      <c r="B450" s="3">
        <v>447</v>
      </c>
      <c r="C450" s="3">
        <f t="shared" si="25"/>
        <v>893</v>
      </c>
      <c r="D450" s="3">
        <f t="shared" si="26"/>
        <v>894</v>
      </c>
      <c r="E450" s="3" t="str">
        <f t="shared" si="24"/>
        <v>dump:2216008073&amp;3216008073</v>
      </c>
      <c r="F450" s="3" t="str">
        <f t="shared" si="27"/>
        <v>哑资源设备_447</v>
      </c>
      <c r="G450" s="10" t="s">
        <v>406</v>
      </c>
      <c r="H450" s="3" t="str">
        <f>"检测机架"&amp;INDEX([1]机架!$D:$D,C450+3)&amp;IF(D450&lt;&gt;"","和"&amp;INDEX([1]机架!$D:$D,D450+3),"")&amp;"的数据"</f>
        <v>检测机架曲阜鼓楼街の机架-5和曲阜鼓楼街の机架-6的数据</v>
      </c>
      <c r="I450" s="3">
        <f>INDEX([1]机架!$C:$C,C450+3)</f>
        <v>3708006122</v>
      </c>
      <c r="J450" s="3">
        <f>IF(D450&lt;&gt;"",INDEX([1]机架!$C:$C,D450+3),0)</f>
        <v>3708006123</v>
      </c>
    </row>
    <row r="451" spans="1:10" ht="16.5" x14ac:dyDescent="0.2">
      <c r="A451" s="3" t="s">
        <v>393</v>
      </c>
      <c r="B451" s="3">
        <v>448</v>
      </c>
      <c r="C451" s="3">
        <f t="shared" si="25"/>
        <v>895</v>
      </c>
      <c r="D451" s="3">
        <f t="shared" si="26"/>
        <v>896</v>
      </c>
      <c r="E451" s="3" t="str">
        <f t="shared" si="24"/>
        <v>dump:1316008073&amp;2316008073</v>
      </c>
      <c r="F451" s="3" t="str">
        <f t="shared" si="27"/>
        <v>哑资源设备_448</v>
      </c>
      <c r="G451" s="10" t="s">
        <v>406</v>
      </c>
      <c r="H451" s="3" t="str">
        <f>"检测机架"&amp;INDEX([1]机架!$D:$D,C451+3)&amp;IF(D451&lt;&gt;"","和"&amp;INDEX([1]机架!$D:$D,D451+3),"")&amp;"的数据"</f>
        <v>检测机架曲阜鼓楼街の机架-7和曲阜鼓楼街の机架-8的数据</v>
      </c>
      <c r="I451" s="3">
        <f>INDEX([1]机架!$C:$C,C451+3)</f>
        <v>3708006131</v>
      </c>
      <c r="J451" s="3">
        <f>IF(D451&lt;&gt;"",INDEX([1]机架!$C:$C,D451+3),0)</f>
        <v>3708006132</v>
      </c>
    </row>
    <row r="452" spans="1:10" ht="16.5" x14ac:dyDescent="0.2">
      <c r="A452" s="3" t="s">
        <v>393</v>
      </c>
      <c r="B452" s="3">
        <v>449</v>
      </c>
      <c r="C452" s="3">
        <f t="shared" si="25"/>
        <v>897</v>
      </c>
      <c r="D452" s="3">
        <f t="shared" si="26"/>
        <v>898</v>
      </c>
      <c r="E452" s="3" t="str">
        <f t="shared" ref="E452:E515" si="28">"dump:"&amp;Reverse(I452)&amp;"&amp;"&amp;Reverse(J452)</f>
        <v>dump:3316008073&amp;1117008073</v>
      </c>
      <c r="F452" s="3" t="str">
        <f t="shared" si="27"/>
        <v>哑资源设备_449</v>
      </c>
      <c r="G452" s="10" t="s">
        <v>406</v>
      </c>
      <c r="H452" s="3" t="str">
        <f>"检测机架"&amp;INDEX([1]机架!$D:$D,C452+3)&amp;IF(D452&lt;&gt;"","和"&amp;INDEX([1]机架!$D:$D,D452+3),"")&amp;"的数据"</f>
        <v>检测机架曲阜鼓楼街の机架-9和嘉祥中心街の机架-1的数据</v>
      </c>
      <c r="I452" s="3">
        <f>INDEX([1]机架!$C:$C,C452+3)</f>
        <v>3708006133</v>
      </c>
      <c r="J452" s="3">
        <f>IF(D452&lt;&gt;"",INDEX([1]机架!$C:$C,D452+3),0)</f>
        <v>3708007111</v>
      </c>
    </row>
    <row r="453" spans="1:10" ht="16.5" x14ac:dyDescent="0.2">
      <c r="A453" s="3" t="s">
        <v>393</v>
      </c>
      <c r="B453" s="3">
        <v>450</v>
      </c>
      <c r="C453" s="3">
        <f t="shared" ref="C453:C516" si="29">MOD(B453-1,INT(($N$3+1)/2))*2+1</f>
        <v>899</v>
      </c>
      <c r="D453" s="3">
        <f t="shared" ref="D453:D516" si="30">IF(C453&lt;$N$3,MOD(B453-1,INT(($N$3+1)/2))*2+2,"")</f>
        <v>900</v>
      </c>
      <c r="E453" s="3" t="str">
        <f t="shared" si="28"/>
        <v>dump:2117008073&amp;3117008073</v>
      </c>
      <c r="F453" s="3" t="str">
        <f t="shared" ref="F453:F516" si="31">"哑资源设备_"&amp;B453</f>
        <v>哑资源设备_450</v>
      </c>
      <c r="G453" s="10" t="s">
        <v>406</v>
      </c>
      <c r="H453" s="3" t="str">
        <f>"检测机架"&amp;INDEX([1]机架!$D:$D,C453+3)&amp;IF(D453&lt;&gt;"","和"&amp;INDEX([1]机架!$D:$D,D453+3),"")&amp;"的数据"</f>
        <v>检测机架嘉祥中心街の机架-2和嘉祥中心街の机架-3的数据</v>
      </c>
      <c r="I453" s="3">
        <f>INDEX([1]机架!$C:$C,C453+3)</f>
        <v>3708007112</v>
      </c>
      <c r="J453" s="3">
        <f>IF(D453&lt;&gt;"",INDEX([1]机架!$C:$C,D453+3),0)</f>
        <v>3708007113</v>
      </c>
    </row>
    <row r="454" spans="1:10" ht="16.5" x14ac:dyDescent="0.2">
      <c r="A454" s="3" t="s">
        <v>393</v>
      </c>
      <c r="B454" s="3">
        <v>451</v>
      </c>
      <c r="C454" s="3">
        <f t="shared" si="29"/>
        <v>901</v>
      </c>
      <c r="D454" s="3">
        <f t="shared" si="30"/>
        <v>902</v>
      </c>
      <c r="E454" s="3" t="str">
        <f t="shared" si="28"/>
        <v>dump:1217008073&amp;2217008073</v>
      </c>
      <c r="F454" s="3" t="str">
        <f t="shared" si="31"/>
        <v>哑资源设备_451</v>
      </c>
      <c r="G454" s="10" t="s">
        <v>406</v>
      </c>
      <c r="H454" s="3" t="str">
        <f>"检测机架"&amp;INDEX([1]机架!$D:$D,C454+3)&amp;IF(D454&lt;&gt;"","和"&amp;INDEX([1]机架!$D:$D,D454+3),"")&amp;"的数据"</f>
        <v>检测机架嘉祥中心街の机架-4和嘉祥中心街の机架-5的数据</v>
      </c>
      <c r="I454" s="3">
        <f>INDEX([1]机架!$C:$C,C454+3)</f>
        <v>3708007121</v>
      </c>
      <c r="J454" s="3">
        <f>IF(D454&lt;&gt;"",INDEX([1]机架!$C:$C,D454+3),0)</f>
        <v>3708007122</v>
      </c>
    </row>
    <row r="455" spans="1:10" ht="16.5" x14ac:dyDescent="0.2">
      <c r="A455" s="3" t="s">
        <v>393</v>
      </c>
      <c r="B455" s="3">
        <v>452</v>
      </c>
      <c r="C455" s="3">
        <f t="shared" si="29"/>
        <v>903</v>
      </c>
      <c r="D455" s="3">
        <f t="shared" si="30"/>
        <v>904</v>
      </c>
      <c r="E455" s="3" t="str">
        <f t="shared" si="28"/>
        <v>dump:3217008073&amp;1317008073</v>
      </c>
      <c r="F455" s="3" t="str">
        <f t="shared" si="31"/>
        <v>哑资源设备_452</v>
      </c>
      <c r="G455" s="10" t="s">
        <v>406</v>
      </c>
      <c r="H455" s="3" t="str">
        <f>"检测机架"&amp;INDEX([1]机架!$D:$D,C455+3)&amp;IF(D455&lt;&gt;"","和"&amp;INDEX([1]机架!$D:$D,D455+3),"")&amp;"的数据"</f>
        <v>检测机架嘉祥中心街の机架-6和嘉祥中心街の机架-7的数据</v>
      </c>
      <c r="I455" s="3">
        <f>INDEX([1]机架!$C:$C,C455+3)</f>
        <v>3708007123</v>
      </c>
      <c r="J455" s="3">
        <f>IF(D455&lt;&gt;"",INDEX([1]机架!$C:$C,D455+3),0)</f>
        <v>3708007131</v>
      </c>
    </row>
    <row r="456" spans="1:10" ht="16.5" x14ac:dyDescent="0.2">
      <c r="A456" s="3" t="s">
        <v>393</v>
      </c>
      <c r="B456" s="3">
        <v>453</v>
      </c>
      <c r="C456" s="3">
        <f t="shared" si="29"/>
        <v>905</v>
      </c>
      <c r="D456" s="3">
        <f t="shared" si="30"/>
        <v>906</v>
      </c>
      <c r="E456" s="3" t="str">
        <f t="shared" si="28"/>
        <v>dump:2317008073&amp;3317008073</v>
      </c>
      <c r="F456" s="3" t="str">
        <f t="shared" si="31"/>
        <v>哑资源设备_453</v>
      </c>
      <c r="G456" s="10" t="s">
        <v>406</v>
      </c>
      <c r="H456" s="3" t="str">
        <f>"检测机架"&amp;INDEX([1]机架!$D:$D,C456+3)&amp;IF(D456&lt;&gt;"","和"&amp;INDEX([1]机架!$D:$D,D456+3),"")&amp;"的数据"</f>
        <v>检测机架嘉祥中心街の机架-8和嘉祥中心街の机架-9的数据</v>
      </c>
      <c r="I456" s="3">
        <f>INDEX([1]机架!$C:$C,C456+3)</f>
        <v>3708007132</v>
      </c>
      <c r="J456" s="3">
        <f>IF(D456&lt;&gt;"",INDEX([1]机架!$C:$C,D456+3),0)</f>
        <v>3708007133</v>
      </c>
    </row>
    <row r="457" spans="1:10" ht="16.5" x14ac:dyDescent="0.2">
      <c r="A457" s="3" t="s">
        <v>393</v>
      </c>
      <c r="B457" s="3">
        <v>454</v>
      </c>
      <c r="C457" s="3">
        <f t="shared" si="29"/>
        <v>907</v>
      </c>
      <c r="D457" s="3">
        <f t="shared" si="30"/>
        <v>908</v>
      </c>
      <c r="E457" s="3" t="str">
        <f t="shared" si="28"/>
        <v>dump:1118008073&amp;2118008073</v>
      </c>
      <c r="F457" s="3" t="str">
        <f t="shared" si="31"/>
        <v>哑资源设备_454</v>
      </c>
      <c r="G457" s="10" t="s">
        <v>406</v>
      </c>
      <c r="H457" s="3" t="str">
        <f>"检测机架"&amp;INDEX([1]机架!$D:$D,C457+3)&amp;IF(D457&lt;&gt;"","和"&amp;INDEX([1]机架!$D:$D,D457+3),"")&amp;"的数据"</f>
        <v>检测机架梁山水泊路の机架-1和梁山水泊路の机架-2的数据</v>
      </c>
      <c r="I457" s="3">
        <f>INDEX([1]机架!$C:$C,C457+3)</f>
        <v>3708008111</v>
      </c>
      <c r="J457" s="3">
        <f>IF(D457&lt;&gt;"",INDEX([1]机架!$C:$C,D457+3),0)</f>
        <v>3708008112</v>
      </c>
    </row>
    <row r="458" spans="1:10" ht="16.5" x14ac:dyDescent="0.2">
      <c r="A458" s="3" t="s">
        <v>393</v>
      </c>
      <c r="B458" s="3">
        <v>455</v>
      </c>
      <c r="C458" s="3">
        <f t="shared" si="29"/>
        <v>909</v>
      </c>
      <c r="D458" s="3">
        <f t="shared" si="30"/>
        <v>910</v>
      </c>
      <c r="E458" s="3" t="str">
        <f t="shared" si="28"/>
        <v>dump:3118008073&amp;1218008073</v>
      </c>
      <c r="F458" s="3" t="str">
        <f t="shared" si="31"/>
        <v>哑资源设备_455</v>
      </c>
      <c r="G458" s="10" t="s">
        <v>406</v>
      </c>
      <c r="H458" s="3" t="str">
        <f>"检测机架"&amp;INDEX([1]机架!$D:$D,C458+3)&amp;IF(D458&lt;&gt;"","和"&amp;INDEX([1]机架!$D:$D,D458+3),"")&amp;"的数据"</f>
        <v>检测机架梁山水泊路の机架-3和梁山水泊路の机架-4的数据</v>
      </c>
      <c r="I458" s="3">
        <f>INDEX([1]机架!$C:$C,C458+3)</f>
        <v>3708008113</v>
      </c>
      <c r="J458" s="3">
        <f>IF(D458&lt;&gt;"",INDEX([1]机架!$C:$C,D458+3),0)</f>
        <v>3708008121</v>
      </c>
    </row>
    <row r="459" spans="1:10" ht="16.5" x14ac:dyDescent="0.2">
      <c r="A459" s="3" t="s">
        <v>393</v>
      </c>
      <c r="B459" s="3">
        <v>456</v>
      </c>
      <c r="C459" s="3">
        <f t="shared" si="29"/>
        <v>911</v>
      </c>
      <c r="D459" s="3">
        <f t="shared" si="30"/>
        <v>912</v>
      </c>
      <c r="E459" s="3" t="str">
        <f t="shared" si="28"/>
        <v>dump:2218008073&amp;3218008073</v>
      </c>
      <c r="F459" s="3" t="str">
        <f t="shared" si="31"/>
        <v>哑资源设备_456</v>
      </c>
      <c r="G459" s="10" t="s">
        <v>406</v>
      </c>
      <c r="H459" s="3" t="str">
        <f>"检测机架"&amp;INDEX([1]机架!$D:$D,C459+3)&amp;IF(D459&lt;&gt;"","和"&amp;INDEX([1]机架!$D:$D,D459+3),"")&amp;"的数据"</f>
        <v>检测机架梁山水泊路の机架-5和梁山水泊路の机架-6的数据</v>
      </c>
      <c r="I459" s="3">
        <f>INDEX([1]机架!$C:$C,C459+3)</f>
        <v>3708008122</v>
      </c>
      <c r="J459" s="3">
        <f>IF(D459&lt;&gt;"",INDEX([1]机架!$C:$C,D459+3),0)</f>
        <v>3708008123</v>
      </c>
    </row>
    <row r="460" spans="1:10" ht="16.5" x14ac:dyDescent="0.2">
      <c r="A460" s="3" t="s">
        <v>393</v>
      </c>
      <c r="B460" s="3">
        <v>457</v>
      </c>
      <c r="C460" s="3">
        <f t="shared" si="29"/>
        <v>913</v>
      </c>
      <c r="D460" s="3">
        <f t="shared" si="30"/>
        <v>914</v>
      </c>
      <c r="E460" s="3" t="str">
        <f t="shared" si="28"/>
        <v>dump:1318008073&amp;2318008073</v>
      </c>
      <c r="F460" s="3" t="str">
        <f t="shared" si="31"/>
        <v>哑资源设备_457</v>
      </c>
      <c r="G460" s="10" t="s">
        <v>406</v>
      </c>
      <c r="H460" s="3" t="str">
        <f>"检测机架"&amp;INDEX([1]机架!$D:$D,C460+3)&amp;IF(D460&lt;&gt;"","和"&amp;INDEX([1]机架!$D:$D,D460+3),"")&amp;"的数据"</f>
        <v>检测机架梁山水泊路の机架-7和梁山水泊路の机架-8的数据</v>
      </c>
      <c r="I460" s="3">
        <f>INDEX([1]机架!$C:$C,C460+3)</f>
        <v>3708008131</v>
      </c>
      <c r="J460" s="3">
        <f>IF(D460&lt;&gt;"",INDEX([1]机架!$C:$C,D460+3),0)</f>
        <v>3708008132</v>
      </c>
    </row>
    <row r="461" spans="1:10" ht="16.5" x14ac:dyDescent="0.2">
      <c r="A461" s="3" t="s">
        <v>393</v>
      </c>
      <c r="B461" s="3">
        <v>458</v>
      </c>
      <c r="C461" s="3">
        <f t="shared" si="29"/>
        <v>915</v>
      </c>
      <c r="D461" s="3">
        <f t="shared" si="30"/>
        <v>916</v>
      </c>
      <c r="E461" s="3" t="str">
        <f t="shared" si="28"/>
        <v>dump:3318008073&amp;1111009073</v>
      </c>
      <c r="F461" s="3" t="str">
        <f t="shared" si="31"/>
        <v>哑资源设备_458</v>
      </c>
      <c r="G461" s="10" t="s">
        <v>406</v>
      </c>
      <c r="H461" s="3" t="str">
        <f>"检测机架"&amp;INDEX([1]机架!$D:$D,C461+3)&amp;IF(D461&lt;&gt;"","和"&amp;INDEX([1]机架!$D:$D,D461+3),"")&amp;"的数据"</f>
        <v>检测机架梁山水泊路の机架-9和泰安东岳大街の机架-1的数据</v>
      </c>
      <c r="I461" s="3">
        <f>INDEX([1]机架!$C:$C,C461+3)</f>
        <v>3708008133</v>
      </c>
      <c r="J461" s="3">
        <f>IF(D461&lt;&gt;"",INDEX([1]机架!$C:$C,D461+3),0)</f>
        <v>3709001111</v>
      </c>
    </row>
    <row r="462" spans="1:10" ht="16.5" x14ac:dyDescent="0.2">
      <c r="A462" s="3" t="s">
        <v>393</v>
      </c>
      <c r="B462" s="3">
        <v>459</v>
      </c>
      <c r="C462" s="3">
        <f t="shared" si="29"/>
        <v>917</v>
      </c>
      <c r="D462" s="3">
        <f t="shared" si="30"/>
        <v>918</v>
      </c>
      <c r="E462" s="3" t="str">
        <f t="shared" si="28"/>
        <v>dump:2111009073&amp;3111009073</v>
      </c>
      <c r="F462" s="3" t="str">
        <f t="shared" si="31"/>
        <v>哑资源设备_459</v>
      </c>
      <c r="G462" s="10" t="s">
        <v>406</v>
      </c>
      <c r="H462" s="3" t="str">
        <f>"检测机架"&amp;INDEX([1]机架!$D:$D,C462+3)&amp;IF(D462&lt;&gt;"","和"&amp;INDEX([1]机架!$D:$D,D462+3),"")&amp;"的数据"</f>
        <v>检测机架泰安东岳大街の机架-2和泰安东岳大街の机架-3的数据</v>
      </c>
      <c r="I462" s="3">
        <f>INDEX([1]机架!$C:$C,C462+3)</f>
        <v>3709001112</v>
      </c>
      <c r="J462" s="3">
        <f>IF(D462&lt;&gt;"",INDEX([1]机架!$C:$C,D462+3),0)</f>
        <v>3709001113</v>
      </c>
    </row>
    <row r="463" spans="1:10" ht="16.5" x14ac:dyDescent="0.2">
      <c r="A463" s="3" t="s">
        <v>393</v>
      </c>
      <c r="B463" s="3">
        <v>460</v>
      </c>
      <c r="C463" s="3">
        <f t="shared" si="29"/>
        <v>919</v>
      </c>
      <c r="D463" s="3">
        <f t="shared" si="30"/>
        <v>920</v>
      </c>
      <c r="E463" s="3" t="str">
        <f t="shared" si="28"/>
        <v>dump:1211009073&amp;2211009073</v>
      </c>
      <c r="F463" s="3" t="str">
        <f t="shared" si="31"/>
        <v>哑资源设备_460</v>
      </c>
      <c r="G463" s="10" t="s">
        <v>406</v>
      </c>
      <c r="H463" s="3" t="str">
        <f>"检测机架"&amp;INDEX([1]机架!$D:$D,C463+3)&amp;IF(D463&lt;&gt;"","和"&amp;INDEX([1]机架!$D:$D,D463+3),"")&amp;"的数据"</f>
        <v>检测机架泰安东岳大街の机架-4和泰安东岳大街の机架-5的数据</v>
      </c>
      <c r="I463" s="3">
        <f>INDEX([1]机架!$C:$C,C463+3)</f>
        <v>3709001121</v>
      </c>
      <c r="J463" s="3">
        <f>IF(D463&lt;&gt;"",INDEX([1]机架!$C:$C,D463+3),0)</f>
        <v>3709001122</v>
      </c>
    </row>
    <row r="464" spans="1:10" ht="16.5" x14ac:dyDescent="0.2">
      <c r="A464" s="3" t="s">
        <v>393</v>
      </c>
      <c r="B464" s="3">
        <v>461</v>
      </c>
      <c r="C464" s="3">
        <f t="shared" si="29"/>
        <v>921</v>
      </c>
      <c r="D464" s="3">
        <f t="shared" si="30"/>
        <v>922</v>
      </c>
      <c r="E464" s="3" t="str">
        <f t="shared" si="28"/>
        <v>dump:3211009073&amp;1311009073</v>
      </c>
      <c r="F464" s="3" t="str">
        <f t="shared" si="31"/>
        <v>哑资源设备_461</v>
      </c>
      <c r="G464" s="10" t="s">
        <v>406</v>
      </c>
      <c r="H464" s="3" t="str">
        <f>"检测机架"&amp;INDEX([1]机架!$D:$D,C464+3)&amp;IF(D464&lt;&gt;"","和"&amp;INDEX([1]机架!$D:$D,D464+3),"")&amp;"的数据"</f>
        <v>检测机架泰安东岳大街の机架-6和泰安东岳大街の机架-7的数据</v>
      </c>
      <c r="I464" s="3">
        <f>INDEX([1]机架!$C:$C,C464+3)</f>
        <v>3709001123</v>
      </c>
      <c r="J464" s="3">
        <f>IF(D464&lt;&gt;"",INDEX([1]机架!$C:$C,D464+3),0)</f>
        <v>3709001131</v>
      </c>
    </row>
    <row r="465" spans="1:10" ht="16.5" x14ac:dyDescent="0.2">
      <c r="A465" s="3" t="s">
        <v>393</v>
      </c>
      <c r="B465" s="3">
        <v>462</v>
      </c>
      <c r="C465" s="3">
        <f t="shared" si="29"/>
        <v>923</v>
      </c>
      <c r="D465" s="3">
        <f t="shared" si="30"/>
        <v>924</v>
      </c>
      <c r="E465" s="3" t="str">
        <f t="shared" si="28"/>
        <v>dump:2311009073&amp;3311009073</v>
      </c>
      <c r="F465" s="3" t="str">
        <f t="shared" si="31"/>
        <v>哑资源设备_462</v>
      </c>
      <c r="G465" s="10" t="s">
        <v>406</v>
      </c>
      <c r="H465" s="3" t="str">
        <f>"检测机架"&amp;INDEX([1]机架!$D:$D,C465+3)&amp;IF(D465&lt;&gt;"","和"&amp;INDEX([1]机架!$D:$D,D465+3),"")&amp;"的数据"</f>
        <v>检测机架泰安东岳大街の机架-8和泰安东岳大街の机架-9的数据</v>
      </c>
      <c r="I465" s="3">
        <f>INDEX([1]机架!$C:$C,C465+3)</f>
        <v>3709001132</v>
      </c>
      <c r="J465" s="3">
        <f>IF(D465&lt;&gt;"",INDEX([1]机架!$C:$C,D465+3),0)</f>
        <v>3709001133</v>
      </c>
    </row>
    <row r="466" spans="1:10" ht="16.5" x14ac:dyDescent="0.2">
      <c r="A466" s="3" t="s">
        <v>393</v>
      </c>
      <c r="B466" s="3">
        <v>463</v>
      </c>
      <c r="C466" s="3">
        <f t="shared" si="29"/>
        <v>925</v>
      </c>
      <c r="D466" s="3">
        <f t="shared" si="30"/>
        <v>926</v>
      </c>
      <c r="E466" s="3" t="str">
        <f t="shared" si="28"/>
        <v>dump:1121009073&amp;2121009073</v>
      </c>
      <c r="F466" s="3" t="str">
        <f t="shared" si="31"/>
        <v>哑资源设备_463</v>
      </c>
      <c r="G466" s="10" t="s">
        <v>406</v>
      </c>
      <c r="H466" s="3" t="str">
        <f>"检测机架"&amp;INDEX([1]机架!$D:$D,C466+3)&amp;IF(D466&lt;&gt;"","和"&amp;INDEX([1]机架!$D:$D,D466+3),"")&amp;"的数据"</f>
        <v>检测机架泰安东岳大街の机架-10和泰安东岳大街の机架-11的数据</v>
      </c>
      <c r="I466" s="3">
        <f>INDEX([1]机架!$C:$C,C466+3)</f>
        <v>3709001211</v>
      </c>
      <c r="J466" s="3">
        <f>IF(D466&lt;&gt;"",INDEX([1]机架!$C:$C,D466+3),0)</f>
        <v>3709001212</v>
      </c>
    </row>
    <row r="467" spans="1:10" ht="16.5" x14ac:dyDescent="0.2">
      <c r="A467" s="3" t="s">
        <v>393</v>
      </c>
      <c r="B467" s="3">
        <v>464</v>
      </c>
      <c r="C467" s="3">
        <f t="shared" si="29"/>
        <v>927</v>
      </c>
      <c r="D467" s="3">
        <f t="shared" si="30"/>
        <v>928</v>
      </c>
      <c r="E467" s="3" t="str">
        <f t="shared" si="28"/>
        <v>dump:3121009073&amp;1221009073</v>
      </c>
      <c r="F467" s="3" t="str">
        <f t="shared" si="31"/>
        <v>哑资源设备_464</v>
      </c>
      <c r="G467" s="10" t="s">
        <v>406</v>
      </c>
      <c r="H467" s="3" t="str">
        <f>"检测机架"&amp;INDEX([1]机架!$D:$D,C467+3)&amp;IF(D467&lt;&gt;"","和"&amp;INDEX([1]机架!$D:$D,D467+3),"")&amp;"的数据"</f>
        <v>检测机架泰安东岳大街の机架-12和泰安东岳大街の机架-13的数据</v>
      </c>
      <c r="I467" s="3">
        <f>INDEX([1]机架!$C:$C,C467+3)</f>
        <v>3709001213</v>
      </c>
      <c r="J467" s="3">
        <f>IF(D467&lt;&gt;"",INDEX([1]机架!$C:$C,D467+3),0)</f>
        <v>3709001221</v>
      </c>
    </row>
    <row r="468" spans="1:10" ht="16.5" x14ac:dyDescent="0.2">
      <c r="A468" s="3" t="s">
        <v>393</v>
      </c>
      <c r="B468" s="3">
        <v>465</v>
      </c>
      <c r="C468" s="3">
        <f t="shared" si="29"/>
        <v>929</v>
      </c>
      <c r="D468" s="3">
        <f t="shared" si="30"/>
        <v>930</v>
      </c>
      <c r="E468" s="3" t="str">
        <f t="shared" si="28"/>
        <v>dump:2221009073&amp;3221009073</v>
      </c>
      <c r="F468" s="3" t="str">
        <f t="shared" si="31"/>
        <v>哑资源设备_465</v>
      </c>
      <c r="G468" s="10" t="s">
        <v>406</v>
      </c>
      <c r="H468" s="3" t="str">
        <f>"检测机架"&amp;INDEX([1]机架!$D:$D,C468+3)&amp;IF(D468&lt;&gt;"","和"&amp;INDEX([1]机架!$D:$D,D468+3),"")&amp;"的数据"</f>
        <v>检测机架泰安东岳大街の机架-14和泰安东岳大街の机架-15的数据</v>
      </c>
      <c r="I468" s="3">
        <f>INDEX([1]机架!$C:$C,C468+3)</f>
        <v>3709001222</v>
      </c>
      <c r="J468" s="3">
        <f>IF(D468&lt;&gt;"",INDEX([1]机架!$C:$C,D468+3),0)</f>
        <v>3709001223</v>
      </c>
    </row>
    <row r="469" spans="1:10" ht="16.5" x14ac:dyDescent="0.2">
      <c r="A469" s="3" t="s">
        <v>393</v>
      </c>
      <c r="B469" s="3">
        <v>466</v>
      </c>
      <c r="C469" s="3">
        <f t="shared" si="29"/>
        <v>931</v>
      </c>
      <c r="D469" s="3">
        <f t="shared" si="30"/>
        <v>932</v>
      </c>
      <c r="E469" s="3" t="str">
        <f t="shared" si="28"/>
        <v>dump:1321009073&amp;2321009073</v>
      </c>
      <c r="F469" s="3" t="str">
        <f t="shared" si="31"/>
        <v>哑资源设备_466</v>
      </c>
      <c r="G469" s="10" t="s">
        <v>406</v>
      </c>
      <c r="H469" s="3" t="str">
        <f>"检测机架"&amp;INDEX([1]机架!$D:$D,C469+3)&amp;IF(D469&lt;&gt;"","和"&amp;INDEX([1]机架!$D:$D,D469+3),"")&amp;"的数据"</f>
        <v>检测机架泰安东岳大街の机架-16和泰安东岳大街の机架-17的数据</v>
      </c>
      <c r="I469" s="3">
        <f>INDEX([1]机架!$C:$C,C469+3)</f>
        <v>3709001231</v>
      </c>
      <c r="J469" s="3">
        <f>IF(D469&lt;&gt;"",INDEX([1]机架!$C:$C,D469+3),0)</f>
        <v>3709001232</v>
      </c>
    </row>
    <row r="470" spans="1:10" ht="16.5" x14ac:dyDescent="0.2">
      <c r="A470" s="3" t="s">
        <v>393</v>
      </c>
      <c r="B470" s="3">
        <v>467</v>
      </c>
      <c r="C470" s="3">
        <f t="shared" si="29"/>
        <v>933</v>
      </c>
      <c r="D470" s="3">
        <f t="shared" si="30"/>
        <v>934</v>
      </c>
      <c r="E470" s="3" t="str">
        <f t="shared" si="28"/>
        <v>dump:3321009073&amp;1112009073</v>
      </c>
      <c r="F470" s="3" t="str">
        <f t="shared" si="31"/>
        <v>哑资源设备_467</v>
      </c>
      <c r="G470" s="10" t="s">
        <v>406</v>
      </c>
      <c r="H470" s="3" t="str">
        <f>"检测机架"&amp;INDEX([1]机架!$D:$D,C470+3)&amp;IF(D470&lt;&gt;"","和"&amp;INDEX([1]机架!$D:$D,D470+3),"")&amp;"的数据"</f>
        <v>检测机架泰安东岳大街の机架-18和泰安中心局の机架-1的数据</v>
      </c>
      <c r="I470" s="3">
        <f>INDEX([1]机架!$C:$C,C470+3)</f>
        <v>3709001233</v>
      </c>
      <c r="J470" s="3">
        <f>IF(D470&lt;&gt;"",INDEX([1]机架!$C:$C,D470+3),0)</f>
        <v>3709002111</v>
      </c>
    </row>
    <row r="471" spans="1:10" ht="16.5" x14ac:dyDescent="0.2">
      <c r="A471" s="3" t="s">
        <v>393</v>
      </c>
      <c r="B471" s="3">
        <v>468</v>
      </c>
      <c r="C471" s="3">
        <f t="shared" si="29"/>
        <v>935</v>
      </c>
      <c r="D471" s="3">
        <f t="shared" si="30"/>
        <v>936</v>
      </c>
      <c r="E471" s="3" t="str">
        <f t="shared" si="28"/>
        <v>dump:2112009073&amp;3112009073</v>
      </c>
      <c r="F471" s="3" t="str">
        <f t="shared" si="31"/>
        <v>哑资源设备_468</v>
      </c>
      <c r="G471" s="10" t="s">
        <v>406</v>
      </c>
      <c r="H471" s="3" t="str">
        <f>"检测机架"&amp;INDEX([1]机架!$D:$D,C471+3)&amp;IF(D471&lt;&gt;"","和"&amp;INDEX([1]机架!$D:$D,D471+3),"")&amp;"的数据"</f>
        <v>检测机架泰安中心局の机架-2和泰安中心局の机架-3的数据</v>
      </c>
      <c r="I471" s="3">
        <f>INDEX([1]机架!$C:$C,C471+3)</f>
        <v>3709002112</v>
      </c>
      <c r="J471" s="3">
        <f>IF(D471&lt;&gt;"",INDEX([1]机架!$C:$C,D471+3),0)</f>
        <v>3709002113</v>
      </c>
    </row>
    <row r="472" spans="1:10" ht="16.5" x14ac:dyDescent="0.2">
      <c r="A472" s="3" t="s">
        <v>393</v>
      </c>
      <c r="B472" s="3">
        <v>469</v>
      </c>
      <c r="C472" s="3">
        <f t="shared" si="29"/>
        <v>937</v>
      </c>
      <c r="D472" s="3">
        <f t="shared" si="30"/>
        <v>938</v>
      </c>
      <c r="E472" s="3" t="str">
        <f t="shared" si="28"/>
        <v>dump:1212009073&amp;2212009073</v>
      </c>
      <c r="F472" s="3" t="str">
        <f t="shared" si="31"/>
        <v>哑资源设备_469</v>
      </c>
      <c r="G472" s="10" t="s">
        <v>406</v>
      </c>
      <c r="H472" s="3" t="str">
        <f>"检测机架"&amp;INDEX([1]机架!$D:$D,C472+3)&amp;IF(D472&lt;&gt;"","和"&amp;INDEX([1]机架!$D:$D,D472+3),"")&amp;"的数据"</f>
        <v>检测机架泰安中心局の机架-4和泰安中心局の机架-5的数据</v>
      </c>
      <c r="I472" s="3">
        <f>INDEX([1]机架!$C:$C,C472+3)</f>
        <v>3709002121</v>
      </c>
      <c r="J472" s="3">
        <f>IF(D472&lt;&gt;"",INDEX([1]机架!$C:$C,D472+3),0)</f>
        <v>3709002122</v>
      </c>
    </row>
    <row r="473" spans="1:10" ht="16.5" x14ac:dyDescent="0.2">
      <c r="A473" s="3" t="s">
        <v>393</v>
      </c>
      <c r="B473" s="3">
        <v>470</v>
      </c>
      <c r="C473" s="3">
        <f t="shared" si="29"/>
        <v>939</v>
      </c>
      <c r="D473" s="3">
        <f t="shared" si="30"/>
        <v>940</v>
      </c>
      <c r="E473" s="3" t="str">
        <f t="shared" si="28"/>
        <v>dump:3212009073&amp;1312009073</v>
      </c>
      <c r="F473" s="3" t="str">
        <f t="shared" si="31"/>
        <v>哑资源设备_470</v>
      </c>
      <c r="G473" s="10" t="s">
        <v>406</v>
      </c>
      <c r="H473" s="3" t="str">
        <f>"检测机架"&amp;INDEX([1]机架!$D:$D,C473+3)&amp;IF(D473&lt;&gt;"","和"&amp;INDEX([1]机架!$D:$D,D473+3),"")&amp;"的数据"</f>
        <v>检测机架泰安中心局の机架-6和泰安中心局の机架-7的数据</v>
      </c>
      <c r="I473" s="3">
        <f>INDEX([1]机架!$C:$C,C473+3)</f>
        <v>3709002123</v>
      </c>
      <c r="J473" s="3">
        <f>IF(D473&lt;&gt;"",INDEX([1]机架!$C:$C,D473+3),0)</f>
        <v>3709002131</v>
      </c>
    </row>
    <row r="474" spans="1:10" ht="16.5" x14ac:dyDescent="0.2">
      <c r="A474" s="3" t="s">
        <v>393</v>
      </c>
      <c r="B474" s="3">
        <v>471</v>
      </c>
      <c r="C474" s="3">
        <f t="shared" si="29"/>
        <v>941</v>
      </c>
      <c r="D474" s="3">
        <f t="shared" si="30"/>
        <v>942</v>
      </c>
      <c r="E474" s="3" t="str">
        <f t="shared" si="28"/>
        <v>dump:2312009073&amp;3312009073</v>
      </c>
      <c r="F474" s="3" t="str">
        <f t="shared" si="31"/>
        <v>哑资源设备_471</v>
      </c>
      <c r="G474" s="10" t="s">
        <v>406</v>
      </c>
      <c r="H474" s="3" t="str">
        <f>"检测机架"&amp;INDEX([1]机架!$D:$D,C474+3)&amp;IF(D474&lt;&gt;"","和"&amp;INDEX([1]机架!$D:$D,D474+3),"")&amp;"的数据"</f>
        <v>检测机架泰安中心局の机架-8和泰安中心局の机架-9的数据</v>
      </c>
      <c r="I474" s="3">
        <f>INDEX([1]机架!$C:$C,C474+3)</f>
        <v>3709002132</v>
      </c>
      <c r="J474" s="3">
        <f>IF(D474&lt;&gt;"",INDEX([1]机架!$C:$C,D474+3),0)</f>
        <v>3709002133</v>
      </c>
    </row>
    <row r="475" spans="1:10" ht="16.5" x14ac:dyDescent="0.2">
      <c r="A475" s="3" t="s">
        <v>393</v>
      </c>
      <c r="B475" s="3">
        <v>472</v>
      </c>
      <c r="C475" s="3">
        <f t="shared" si="29"/>
        <v>943</v>
      </c>
      <c r="D475" s="3">
        <f t="shared" si="30"/>
        <v>944</v>
      </c>
      <c r="E475" s="3" t="str">
        <f t="shared" si="28"/>
        <v>dump:1113009073&amp;2113009073</v>
      </c>
      <c r="F475" s="3" t="str">
        <f t="shared" si="31"/>
        <v>哑资源设备_472</v>
      </c>
      <c r="G475" s="10" t="s">
        <v>406</v>
      </c>
      <c r="H475" s="3" t="str">
        <f>"检测机架"&amp;INDEX([1]机架!$D:$D,C475+3)&amp;IF(D475&lt;&gt;"","和"&amp;INDEX([1]机架!$D:$D,D475+3),"")&amp;"的数据"</f>
        <v>检测机架泰安青年路中心局の机架-1和泰安青年路中心局の机架-2的数据</v>
      </c>
      <c r="I475" s="3">
        <f>INDEX([1]机架!$C:$C,C475+3)</f>
        <v>3709003111</v>
      </c>
      <c r="J475" s="3">
        <f>IF(D475&lt;&gt;"",INDEX([1]机架!$C:$C,D475+3),0)</f>
        <v>3709003112</v>
      </c>
    </row>
    <row r="476" spans="1:10" ht="16.5" x14ac:dyDescent="0.2">
      <c r="A476" s="3" t="s">
        <v>393</v>
      </c>
      <c r="B476" s="3">
        <v>473</v>
      </c>
      <c r="C476" s="3">
        <f t="shared" si="29"/>
        <v>945</v>
      </c>
      <c r="D476" s="3">
        <f t="shared" si="30"/>
        <v>946</v>
      </c>
      <c r="E476" s="3" t="str">
        <f t="shared" si="28"/>
        <v>dump:3113009073&amp;1213009073</v>
      </c>
      <c r="F476" s="3" t="str">
        <f t="shared" si="31"/>
        <v>哑资源设备_473</v>
      </c>
      <c r="G476" s="10" t="s">
        <v>406</v>
      </c>
      <c r="H476" s="3" t="str">
        <f>"检测机架"&amp;INDEX([1]机架!$D:$D,C476+3)&amp;IF(D476&lt;&gt;"","和"&amp;INDEX([1]机架!$D:$D,D476+3),"")&amp;"的数据"</f>
        <v>检测机架泰安青年路中心局の机架-3和泰安青年路中心局の机架-4的数据</v>
      </c>
      <c r="I476" s="3">
        <f>INDEX([1]机架!$C:$C,C476+3)</f>
        <v>3709003113</v>
      </c>
      <c r="J476" s="3">
        <f>IF(D476&lt;&gt;"",INDEX([1]机架!$C:$C,D476+3),0)</f>
        <v>3709003121</v>
      </c>
    </row>
    <row r="477" spans="1:10" ht="16.5" x14ac:dyDescent="0.2">
      <c r="A477" s="3" t="s">
        <v>393</v>
      </c>
      <c r="B477" s="3">
        <v>474</v>
      </c>
      <c r="C477" s="3">
        <f t="shared" si="29"/>
        <v>947</v>
      </c>
      <c r="D477" s="3">
        <f t="shared" si="30"/>
        <v>948</v>
      </c>
      <c r="E477" s="3" t="str">
        <f t="shared" si="28"/>
        <v>dump:2213009073&amp;3213009073</v>
      </c>
      <c r="F477" s="3" t="str">
        <f t="shared" si="31"/>
        <v>哑资源设备_474</v>
      </c>
      <c r="G477" s="10" t="s">
        <v>406</v>
      </c>
      <c r="H477" s="3" t="str">
        <f>"检测机架"&amp;INDEX([1]机架!$D:$D,C477+3)&amp;IF(D477&lt;&gt;"","和"&amp;INDEX([1]机架!$D:$D,D477+3),"")&amp;"的数据"</f>
        <v>检测机架泰安青年路中心局の机架-5和泰安青年路中心局の机架-6的数据</v>
      </c>
      <c r="I477" s="3">
        <f>INDEX([1]机架!$C:$C,C477+3)</f>
        <v>3709003122</v>
      </c>
      <c r="J477" s="3">
        <f>IF(D477&lt;&gt;"",INDEX([1]机架!$C:$C,D477+3),0)</f>
        <v>3709003123</v>
      </c>
    </row>
    <row r="478" spans="1:10" ht="16.5" x14ac:dyDescent="0.2">
      <c r="A478" s="3" t="s">
        <v>393</v>
      </c>
      <c r="B478" s="3">
        <v>475</v>
      </c>
      <c r="C478" s="3">
        <f t="shared" si="29"/>
        <v>949</v>
      </c>
      <c r="D478" s="3">
        <f t="shared" si="30"/>
        <v>950</v>
      </c>
      <c r="E478" s="3" t="str">
        <f t="shared" si="28"/>
        <v>dump:1313009073&amp;2313009073</v>
      </c>
      <c r="F478" s="3" t="str">
        <f t="shared" si="31"/>
        <v>哑资源设备_475</v>
      </c>
      <c r="G478" s="10" t="s">
        <v>406</v>
      </c>
      <c r="H478" s="3" t="str">
        <f>"检测机架"&amp;INDEX([1]机架!$D:$D,C478+3)&amp;IF(D478&lt;&gt;"","和"&amp;INDEX([1]机架!$D:$D,D478+3),"")&amp;"的数据"</f>
        <v>检测机架泰安青年路中心局の机架-7和泰安青年路中心局の机架-8的数据</v>
      </c>
      <c r="I478" s="3">
        <f>INDEX([1]机架!$C:$C,C478+3)</f>
        <v>3709003131</v>
      </c>
      <c r="J478" s="3">
        <f>IF(D478&lt;&gt;"",INDEX([1]机架!$C:$C,D478+3),0)</f>
        <v>3709003132</v>
      </c>
    </row>
    <row r="479" spans="1:10" ht="16.5" x14ac:dyDescent="0.2">
      <c r="A479" s="3" t="s">
        <v>393</v>
      </c>
      <c r="B479" s="3">
        <v>476</v>
      </c>
      <c r="C479" s="3">
        <f t="shared" si="29"/>
        <v>951</v>
      </c>
      <c r="D479" s="3">
        <f t="shared" si="30"/>
        <v>952</v>
      </c>
      <c r="E479" s="3" t="str">
        <f t="shared" si="28"/>
        <v>dump:3313009073&amp;1114009073</v>
      </c>
      <c r="F479" s="3" t="str">
        <f t="shared" si="31"/>
        <v>哑资源设备_476</v>
      </c>
      <c r="G479" s="10" t="s">
        <v>406</v>
      </c>
      <c r="H479" s="3" t="str">
        <f>"检测机架"&amp;INDEX([1]机架!$D:$D,C479+3)&amp;IF(D479&lt;&gt;"","和"&amp;INDEX([1]机架!$D:$D,D479+3),"")&amp;"的数据"</f>
        <v>检测机架泰安青年路中心局の机架-9和肥城新城路の机架-1的数据</v>
      </c>
      <c r="I479" s="3">
        <f>INDEX([1]机架!$C:$C,C479+3)</f>
        <v>3709003133</v>
      </c>
      <c r="J479" s="3">
        <f>IF(D479&lt;&gt;"",INDEX([1]机架!$C:$C,D479+3),0)</f>
        <v>3709004111</v>
      </c>
    </row>
    <row r="480" spans="1:10" ht="16.5" x14ac:dyDescent="0.2">
      <c r="A480" s="3" t="s">
        <v>393</v>
      </c>
      <c r="B480" s="3">
        <v>477</v>
      </c>
      <c r="C480" s="3">
        <f t="shared" si="29"/>
        <v>953</v>
      </c>
      <c r="D480" s="3">
        <f t="shared" si="30"/>
        <v>954</v>
      </c>
      <c r="E480" s="3" t="str">
        <f t="shared" si="28"/>
        <v>dump:2114009073&amp;3114009073</v>
      </c>
      <c r="F480" s="3" t="str">
        <f t="shared" si="31"/>
        <v>哑资源设备_477</v>
      </c>
      <c r="G480" s="10" t="s">
        <v>406</v>
      </c>
      <c r="H480" s="3" t="str">
        <f>"检测机架"&amp;INDEX([1]机架!$D:$D,C480+3)&amp;IF(D480&lt;&gt;"","和"&amp;INDEX([1]机架!$D:$D,D480+3),"")&amp;"的数据"</f>
        <v>检测机架肥城新城路の机架-2和肥城新城路の机架-3的数据</v>
      </c>
      <c r="I480" s="3">
        <f>INDEX([1]机架!$C:$C,C480+3)</f>
        <v>3709004112</v>
      </c>
      <c r="J480" s="3">
        <f>IF(D480&lt;&gt;"",INDEX([1]机架!$C:$C,D480+3),0)</f>
        <v>3709004113</v>
      </c>
    </row>
    <row r="481" spans="1:10" ht="16.5" x14ac:dyDescent="0.2">
      <c r="A481" s="3" t="s">
        <v>393</v>
      </c>
      <c r="B481" s="3">
        <v>478</v>
      </c>
      <c r="C481" s="3">
        <f t="shared" si="29"/>
        <v>955</v>
      </c>
      <c r="D481" s="3">
        <f t="shared" si="30"/>
        <v>956</v>
      </c>
      <c r="E481" s="3" t="str">
        <f t="shared" si="28"/>
        <v>dump:1214009073&amp;2214009073</v>
      </c>
      <c r="F481" s="3" t="str">
        <f t="shared" si="31"/>
        <v>哑资源设备_478</v>
      </c>
      <c r="G481" s="10" t="s">
        <v>406</v>
      </c>
      <c r="H481" s="3" t="str">
        <f>"检测机架"&amp;INDEX([1]机架!$D:$D,C481+3)&amp;IF(D481&lt;&gt;"","和"&amp;INDEX([1]机架!$D:$D,D481+3),"")&amp;"的数据"</f>
        <v>检测机架肥城新城路の机架-4和肥城新城路の机架-5的数据</v>
      </c>
      <c r="I481" s="3">
        <f>INDEX([1]机架!$C:$C,C481+3)</f>
        <v>3709004121</v>
      </c>
      <c r="J481" s="3">
        <f>IF(D481&lt;&gt;"",INDEX([1]机架!$C:$C,D481+3),0)</f>
        <v>3709004122</v>
      </c>
    </row>
    <row r="482" spans="1:10" ht="16.5" x14ac:dyDescent="0.2">
      <c r="A482" s="3" t="s">
        <v>393</v>
      </c>
      <c r="B482" s="3">
        <v>479</v>
      </c>
      <c r="C482" s="3">
        <f t="shared" si="29"/>
        <v>957</v>
      </c>
      <c r="D482" s="3">
        <f t="shared" si="30"/>
        <v>958</v>
      </c>
      <c r="E482" s="3" t="str">
        <f t="shared" si="28"/>
        <v>dump:3214009073&amp;1314009073</v>
      </c>
      <c r="F482" s="3" t="str">
        <f t="shared" si="31"/>
        <v>哑资源设备_479</v>
      </c>
      <c r="G482" s="10" t="s">
        <v>406</v>
      </c>
      <c r="H482" s="3" t="str">
        <f>"检测机架"&amp;INDEX([1]机架!$D:$D,C482+3)&amp;IF(D482&lt;&gt;"","和"&amp;INDEX([1]机架!$D:$D,D482+3),"")&amp;"的数据"</f>
        <v>检测机架肥城新城路の机架-6和肥城新城路の机架-7的数据</v>
      </c>
      <c r="I482" s="3">
        <f>INDEX([1]机架!$C:$C,C482+3)</f>
        <v>3709004123</v>
      </c>
      <c r="J482" s="3">
        <f>IF(D482&lt;&gt;"",INDEX([1]机架!$C:$C,D482+3),0)</f>
        <v>3709004131</v>
      </c>
    </row>
    <row r="483" spans="1:10" ht="16.5" x14ac:dyDescent="0.2">
      <c r="A483" s="3" t="s">
        <v>393</v>
      </c>
      <c r="B483" s="3">
        <v>480</v>
      </c>
      <c r="C483" s="3">
        <f t="shared" si="29"/>
        <v>959</v>
      </c>
      <c r="D483" s="3">
        <f t="shared" si="30"/>
        <v>960</v>
      </c>
      <c r="E483" s="3" t="str">
        <f t="shared" si="28"/>
        <v>dump:2314009073&amp;3314009073</v>
      </c>
      <c r="F483" s="3" t="str">
        <f t="shared" si="31"/>
        <v>哑资源设备_480</v>
      </c>
      <c r="G483" s="10" t="s">
        <v>406</v>
      </c>
      <c r="H483" s="3" t="str">
        <f>"检测机架"&amp;INDEX([1]机架!$D:$D,C483+3)&amp;IF(D483&lt;&gt;"","和"&amp;INDEX([1]机架!$D:$D,D483+3),"")&amp;"的数据"</f>
        <v>检测机架肥城新城路の机架-8和肥城新城路の机架-9的数据</v>
      </c>
      <c r="I483" s="3">
        <f>INDEX([1]机架!$C:$C,C483+3)</f>
        <v>3709004132</v>
      </c>
      <c r="J483" s="3">
        <f>IF(D483&lt;&gt;"",INDEX([1]机架!$C:$C,D483+3),0)</f>
        <v>3709004133</v>
      </c>
    </row>
    <row r="484" spans="1:10" ht="16.5" x14ac:dyDescent="0.2">
      <c r="A484" s="3" t="s">
        <v>393</v>
      </c>
      <c r="B484" s="3">
        <v>481</v>
      </c>
      <c r="C484" s="3">
        <f t="shared" si="29"/>
        <v>961</v>
      </c>
      <c r="D484" s="3">
        <f t="shared" si="30"/>
        <v>962</v>
      </c>
      <c r="E484" s="3" t="str">
        <f t="shared" si="28"/>
        <v>dump:1111000173&amp;2111000173</v>
      </c>
      <c r="F484" s="3" t="str">
        <f t="shared" si="31"/>
        <v>哑资源设备_481</v>
      </c>
      <c r="G484" s="10" t="s">
        <v>406</v>
      </c>
      <c r="H484" s="3" t="str">
        <f>"检测机架"&amp;INDEX([1]机架!$D:$D,C484+3)&amp;IF(D484&lt;&gt;"","和"&amp;INDEX([1]机架!$D:$D,D484+3),"")&amp;"的数据"</f>
        <v>检测机架威海南竹岛の机架-1和威海南竹岛の机架-2的数据</v>
      </c>
      <c r="I484" s="3">
        <f>INDEX([1]机架!$C:$C,C484+3)</f>
        <v>3710001111</v>
      </c>
      <c r="J484" s="3">
        <f>IF(D484&lt;&gt;"",INDEX([1]机架!$C:$C,D484+3),0)</f>
        <v>3710001112</v>
      </c>
    </row>
    <row r="485" spans="1:10" ht="16.5" x14ac:dyDescent="0.2">
      <c r="A485" s="3" t="s">
        <v>393</v>
      </c>
      <c r="B485" s="3">
        <v>482</v>
      </c>
      <c r="C485" s="3">
        <f t="shared" si="29"/>
        <v>963</v>
      </c>
      <c r="D485" s="3">
        <f t="shared" si="30"/>
        <v>964</v>
      </c>
      <c r="E485" s="3" t="str">
        <f t="shared" si="28"/>
        <v>dump:3111000173&amp;1211000173</v>
      </c>
      <c r="F485" s="3" t="str">
        <f t="shared" si="31"/>
        <v>哑资源设备_482</v>
      </c>
      <c r="G485" s="10" t="s">
        <v>406</v>
      </c>
      <c r="H485" s="3" t="str">
        <f>"检测机架"&amp;INDEX([1]机架!$D:$D,C485+3)&amp;IF(D485&lt;&gt;"","和"&amp;INDEX([1]机架!$D:$D,D485+3),"")&amp;"的数据"</f>
        <v>检测机架威海南竹岛の机架-3和威海南竹岛の机架-4的数据</v>
      </c>
      <c r="I485" s="3">
        <f>INDEX([1]机架!$C:$C,C485+3)</f>
        <v>3710001113</v>
      </c>
      <c r="J485" s="3">
        <f>IF(D485&lt;&gt;"",INDEX([1]机架!$C:$C,D485+3),0)</f>
        <v>3710001121</v>
      </c>
    </row>
    <row r="486" spans="1:10" ht="16.5" x14ac:dyDescent="0.2">
      <c r="A486" s="3" t="s">
        <v>393</v>
      </c>
      <c r="B486" s="3">
        <v>483</v>
      </c>
      <c r="C486" s="3">
        <f t="shared" si="29"/>
        <v>965</v>
      </c>
      <c r="D486" s="3">
        <f t="shared" si="30"/>
        <v>966</v>
      </c>
      <c r="E486" s="3" t="str">
        <f t="shared" si="28"/>
        <v>dump:2211000173&amp;3211000173</v>
      </c>
      <c r="F486" s="3" t="str">
        <f t="shared" si="31"/>
        <v>哑资源设备_483</v>
      </c>
      <c r="G486" s="10" t="s">
        <v>406</v>
      </c>
      <c r="H486" s="3" t="str">
        <f>"检测机架"&amp;INDEX([1]机架!$D:$D,C486+3)&amp;IF(D486&lt;&gt;"","和"&amp;INDEX([1]机架!$D:$D,D486+3),"")&amp;"的数据"</f>
        <v>检测机架威海南竹岛の机架-5和威海南竹岛の机架-6的数据</v>
      </c>
      <c r="I486" s="3">
        <f>INDEX([1]机架!$C:$C,C486+3)</f>
        <v>3710001122</v>
      </c>
      <c r="J486" s="3">
        <f>IF(D486&lt;&gt;"",INDEX([1]机架!$C:$C,D486+3),0)</f>
        <v>3710001123</v>
      </c>
    </row>
    <row r="487" spans="1:10" ht="16.5" x14ac:dyDescent="0.2">
      <c r="A487" s="3" t="s">
        <v>393</v>
      </c>
      <c r="B487" s="3">
        <v>484</v>
      </c>
      <c r="C487" s="3">
        <f t="shared" si="29"/>
        <v>967</v>
      </c>
      <c r="D487" s="3">
        <f t="shared" si="30"/>
        <v>968</v>
      </c>
      <c r="E487" s="3" t="str">
        <f t="shared" si="28"/>
        <v>dump:1311000173&amp;2311000173</v>
      </c>
      <c r="F487" s="3" t="str">
        <f t="shared" si="31"/>
        <v>哑资源设备_484</v>
      </c>
      <c r="G487" s="10" t="s">
        <v>406</v>
      </c>
      <c r="H487" s="3" t="str">
        <f>"检测机架"&amp;INDEX([1]机架!$D:$D,C487+3)&amp;IF(D487&lt;&gt;"","和"&amp;INDEX([1]机架!$D:$D,D487+3),"")&amp;"的数据"</f>
        <v>检测机架威海南竹岛の机架-7和威海南竹岛の机架-8的数据</v>
      </c>
      <c r="I487" s="3">
        <f>INDEX([1]机架!$C:$C,C487+3)</f>
        <v>3710001131</v>
      </c>
      <c r="J487" s="3">
        <f>IF(D487&lt;&gt;"",INDEX([1]机架!$C:$C,D487+3),0)</f>
        <v>3710001132</v>
      </c>
    </row>
    <row r="488" spans="1:10" ht="16.5" x14ac:dyDescent="0.2">
      <c r="A488" s="3" t="s">
        <v>393</v>
      </c>
      <c r="B488" s="3">
        <v>485</v>
      </c>
      <c r="C488" s="3">
        <f t="shared" si="29"/>
        <v>969</v>
      </c>
      <c r="D488" s="3">
        <f t="shared" si="30"/>
        <v>970</v>
      </c>
      <c r="E488" s="3" t="str">
        <f t="shared" si="28"/>
        <v>dump:3311000173&amp;1121000173</v>
      </c>
      <c r="F488" s="3" t="str">
        <f t="shared" si="31"/>
        <v>哑资源设备_485</v>
      </c>
      <c r="G488" s="10" t="s">
        <v>406</v>
      </c>
      <c r="H488" s="3" t="str">
        <f>"检测机架"&amp;INDEX([1]机架!$D:$D,C488+3)&amp;IF(D488&lt;&gt;"","和"&amp;INDEX([1]机架!$D:$D,D488+3),"")&amp;"的数据"</f>
        <v>检测机架威海南竹岛の机架-9和威海南竹岛の机架-10的数据</v>
      </c>
      <c r="I488" s="3">
        <f>INDEX([1]机架!$C:$C,C488+3)</f>
        <v>3710001133</v>
      </c>
      <c r="J488" s="3">
        <f>IF(D488&lt;&gt;"",INDEX([1]机架!$C:$C,D488+3),0)</f>
        <v>3710001211</v>
      </c>
    </row>
    <row r="489" spans="1:10" ht="16.5" x14ac:dyDescent="0.2">
      <c r="A489" s="3" t="s">
        <v>393</v>
      </c>
      <c r="B489" s="3">
        <v>486</v>
      </c>
      <c r="C489" s="3">
        <f t="shared" si="29"/>
        <v>971</v>
      </c>
      <c r="D489" s="3">
        <f t="shared" si="30"/>
        <v>972</v>
      </c>
      <c r="E489" s="3" t="str">
        <f t="shared" si="28"/>
        <v>dump:2121000173&amp;3121000173</v>
      </c>
      <c r="F489" s="3" t="str">
        <f t="shared" si="31"/>
        <v>哑资源设备_486</v>
      </c>
      <c r="G489" s="10" t="s">
        <v>406</v>
      </c>
      <c r="H489" s="3" t="str">
        <f>"检测机架"&amp;INDEX([1]机架!$D:$D,C489+3)&amp;IF(D489&lt;&gt;"","和"&amp;INDEX([1]机架!$D:$D,D489+3),"")&amp;"的数据"</f>
        <v>检测机架威海南竹岛の机架-11和威海南竹岛の机架-12的数据</v>
      </c>
      <c r="I489" s="3">
        <f>INDEX([1]机架!$C:$C,C489+3)</f>
        <v>3710001212</v>
      </c>
      <c r="J489" s="3">
        <f>IF(D489&lt;&gt;"",INDEX([1]机架!$C:$C,D489+3),0)</f>
        <v>3710001213</v>
      </c>
    </row>
    <row r="490" spans="1:10" ht="16.5" x14ac:dyDescent="0.2">
      <c r="A490" s="3" t="s">
        <v>393</v>
      </c>
      <c r="B490" s="3">
        <v>487</v>
      </c>
      <c r="C490" s="3">
        <f t="shared" si="29"/>
        <v>973</v>
      </c>
      <c r="D490" s="3">
        <f t="shared" si="30"/>
        <v>974</v>
      </c>
      <c r="E490" s="3" t="str">
        <f t="shared" si="28"/>
        <v>dump:1221000173&amp;2221000173</v>
      </c>
      <c r="F490" s="3" t="str">
        <f t="shared" si="31"/>
        <v>哑资源设备_487</v>
      </c>
      <c r="G490" s="10" t="s">
        <v>406</v>
      </c>
      <c r="H490" s="3" t="str">
        <f>"检测机架"&amp;INDEX([1]机架!$D:$D,C490+3)&amp;IF(D490&lt;&gt;"","和"&amp;INDEX([1]机架!$D:$D,D490+3),"")&amp;"的数据"</f>
        <v>检测机架威海南竹岛の机架-13和威海南竹岛の机架-14的数据</v>
      </c>
      <c r="I490" s="3">
        <f>INDEX([1]机架!$C:$C,C490+3)</f>
        <v>3710001221</v>
      </c>
      <c r="J490" s="3">
        <f>IF(D490&lt;&gt;"",INDEX([1]机架!$C:$C,D490+3),0)</f>
        <v>3710001222</v>
      </c>
    </row>
    <row r="491" spans="1:10" ht="16.5" x14ac:dyDescent="0.2">
      <c r="A491" s="3" t="s">
        <v>393</v>
      </c>
      <c r="B491" s="3">
        <v>488</v>
      </c>
      <c r="C491" s="3">
        <f t="shared" si="29"/>
        <v>975</v>
      </c>
      <c r="D491" s="3">
        <f t="shared" si="30"/>
        <v>976</v>
      </c>
      <c r="E491" s="3" t="str">
        <f t="shared" si="28"/>
        <v>dump:3221000173&amp;1321000173</v>
      </c>
      <c r="F491" s="3" t="str">
        <f t="shared" si="31"/>
        <v>哑资源设备_488</v>
      </c>
      <c r="G491" s="10" t="s">
        <v>406</v>
      </c>
      <c r="H491" s="3" t="str">
        <f>"检测机架"&amp;INDEX([1]机架!$D:$D,C491+3)&amp;IF(D491&lt;&gt;"","和"&amp;INDEX([1]机架!$D:$D,D491+3),"")&amp;"的数据"</f>
        <v>检测机架威海南竹岛の机架-15和威海南竹岛の机架-16的数据</v>
      </c>
      <c r="I491" s="3">
        <f>INDEX([1]机架!$C:$C,C491+3)</f>
        <v>3710001223</v>
      </c>
      <c r="J491" s="3">
        <f>IF(D491&lt;&gt;"",INDEX([1]机架!$C:$C,D491+3),0)</f>
        <v>3710001231</v>
      </c>
    </row>
    <row r="492" spans="1:10" ht="16.5" x14ac:dyDescent="0.2">
      <c r="A492" s="3" t="s">
        <v>393</v>
      </c>
      <c r="B492" s="3">
        <v>489</v>
      </c>
      <c r="C492" s="3">
        <f t="shared" si="29"/>
        <v>977</v>
      </c>
      <c r="D492" s="3">
        <f t="shared" si="30"/>
        <v>978</v>
      </c>
      <c r="E492" s="3" t="str">
        <f t="shared" si="28"/>
        <v>dump:2321000173&amp;3321000173</v>
      </c>
      <c r="F492" s="3" t="str">
        <f t="shared" si="31"/>
        <v>哑资源设备_489</v>
      </c>
      <c r="G492" s="10" t="s">
        <v>406</v>
      </c>
      <c r="H492" s="3" t="str">
        <f>"检测机架"&amp;INDEX([1]机架!$D:$D,C492+3)&amp;IF(D492&lt;&gt;"","和"&amp;INDEX([1]机架!$D:$D,D492+3),"")&amp;"的数据"</f>
        <v>检测机架威海南竹岛の机架-17和威海南竹岛の机架-18的数据</v>
      </c>
      <c r="I492" s="3">
        <f>INDEX([1]机架!$C:$C,C492+3)</f>
        <v>3710001232</v>
      </c>
      <c r="J492" s="3">
        <f>IF(D492&lt;&gt;"",INDEX([1]机架!$C:$C,D492+3),0)</f>
        <v>3710001233</v>
      </c>
    </row>
    <row r="493" spans="1:10" ht="16.5" x14ac:dyDescent="0.2">
      <c r="A493" s="3" t="s">
        <v>393</v>
      </c>
      <c r="B493" s="3">
        <v>490</v>
      </c>
      <c r="C493" s="3">
        <f t="shared" si="29"/>
        <v>979</v>
      </c>
      <c r="D493" s="3">
        <f t="shared" si="30"/>
        <v>980</v>
      </c>
      <c r="E493" s="3" t="str">
        <f t="shared" si="28"/>
        <v>dump:1112000173&amp;2112000173</v>
      </c>
      <c r="F493" s="3" t="str">
        <f t="shared" si="31"/>
        <v>哑资源设备_490</v>
      </c>
      <c r="G493" s="10" t="s">
        <v>406</v>
      </c>
      <c r="H493" s="3" t="str">
        <f>"检测机架"&amp;INDEX([1]机架!$D:$D,C493+3)&amp;IF(D493&lt;&gt;"","和"&amp;INDEX([1]机架!$D:$D,D493+3),"")&amp;"的数据"</f>
        <v>检测机架威海青岛北路の机架-1和威海青岛北路の机架-2的数据</v>
      </c>
      <c r="I493" s="3">
        <f>INDEX([1]机架!$C:$C,C493+3)</f>
        <v>3710002111</v>
      </c>
      <c r="J493" s="3">
        <f>IF(D493&lt;&gt;"",INDEX([1]机架!$C:$C,D493+3),0)</f>
        <v>3710002112</v>
      </c>
    </row>
    <row r="494" spans="1:10" ht="16.5" x14ac:dyDescent="0.2">
      <c r="A494" s="3" t="s">
        <v>393</v>
      </c>
      <c r="B494" s="3">
        <v>491</v>
      </c>
      <c r="C494" s="3">
        <f t="shared" si="29"/>
        <v>981</v>
      </c>
      <c r="D494" s="3">
        <f t="shared" si="30"/>
        <v>982</v>
      </c>
      <c r="E494" s="3" t="str">
        <f t="shared" si="28"/>
        <v>dump:3112000173&amp;1212000173</v>
      </c>
      <c r="F494" s="3" t="str">
        <f t="shared" si="31"/>
        <v>哑资源设备_491</v>
      </c>
      <c r="G494" s="10" t="s">
        <v>406</v>
      </c>
      <c r="H494" s="3" t="str">
        <f>"检测机架"&amp;INDEX([1]机架!$D:$D,C494+3)&amp;IF(D494&lt;&gt;"","和"&amp;INDEX([1]机架!$D:$D,D494+3),"")&amp;"的数据"</f>
        <v>检测机架威海青岛北路の机架-3和威海青岛北路の机架-4的数据</v>
      </c>
      <c r="I494" s="3">
        <f>INDEX([1]机架!$C:$C,C494+3)</f>
        <v>3710002113</v>
      </c>
      <c r="J494" s="3">
        <f>IF(D494&lt;&gt;"",INDEX([1]机架!$C:$C,D494+3),0)</f>
        <v>3710002121</v>
      </c>
    </row>
    <row r="495" spans="1:10" ht="16.5" x14ac:dyDescent="0.2">
      <c r="A495" s="3" t="s">
        <v>393</v>
      </c>
      <c r="B495" s="3">
        <v>492</v>
      </c>
      <c r="C495" s="3">
        <f t="shared" si="29"/>
        <v>983</v>
      </c>
      <c r="D495" s="3">
        <f t="shared" si="30"/>
        <v>984</v>
      </c>
      <c r="E495" s="3" t="str">
        <f t="shared" si="28"/>
        <v>dump:2212000173&amp;3212000173</v>
      </c>
      <c r="F495" s="3" t="str">
        <f t="shared" si="31"/>
        <v>哑资源设备_492</v>
      </c>
      <c r="G495" s="10" t="s">
        <v>406</v>
      </c>
      <c r="H495" s="3" t="str">
        <f>"检测机架"&amp;INDEX([1]机架!$D:$D,C495+3)&amp;IF(D495&lt;&gt;"","和"&amp;INDEX([1]机架!$D:$D,D495+3),"")&amp;"的数据"</f>
        <v>检测机架威海青岛北路の机架-5和威海青岛北路の机架-6的数据</v>
      </c>
      <c r="I495" s="3">
        <f>INDEX([1]机架!$C:$C,C495+3)</f>
        <v>3710002122</v>
      </c>
      <c r="J495" s="3">
        <f>IF(D495&lt;&gt;"",INDEX([1]机架!$C:$C,D495+3),0)</f>
        <v>3710002123</v>
      </c>
    </row>
    <row r="496" spans="1:10" ht="16.5" x14ac:dyDescent="0.2">
      <c r="A496" s="3" t="s">
        <v>393</v>
      </c>
      <c r="B496" s="3">
        <v>493</v>
      </c>
      <c r="C496" s="3">
        <f t="shared" si="29"/>
        <v>985</v>
      </c>
      <c r="D496" s="3">
        <f t="shared" si="30"/>
        <v>986</v>
      </c>
      <c r="E496" s="3" t="str">
        <f t="shared" si="28"/>
        <v>dump:1312000173&amp;2312000173</v>
      </c>
      <c r="F496" s="3" t="str">
        <f t="shared" si="31"/>
        <v>哑资源设备_493</v>
      </c>
      <c r="G496" s="10" t="s">
        <v>406</v>
      </c>
      <c r="H496" s="3" t="str">
        <f>"检测机架"&amp;INDEX([1]机架!$D:$D,C496+3)&amp;IF(D496&lt;&gt;"","和"&amp;INDEX([1]机架!$D:$D,D496+3),"")&amp;"的数据"</f>
        <v>检测机架威海青岛北路の机架-7和威海青岛北路の机架-8的数据</v>
      </c>
      <c r="I496" s="3">
        <f>INDEX([1]机架!$C:$C,C496+3)</f>
        <v>3710002131</v>
      </c>
      <c r="J496" s="3">
        <f>IF(D496&lt;&gt;"",INDEX([1]机架!$C:$C,D496+3),0)</f>
        <v>3710002132</v>
      </c>
    </row>
    <row r="497" spans="1:10" ht="16.5" x14ac:dyDescent="0.2">
      <c r="A497" s="3" t="s">
        <v>393</v>
      </c>
      <c r="B497" s="3">
        <v>494</v>
      </c>
      <c r="C497" s="3">
        <f t="shared" si="29"/>
        <v>987</v>
      </c>
      <c r="D497" s="3">
        <f t="shared" si="30"/>
        <v>988</v>
      </c>
      <c r="E497" s="3" t="str">
        <f t="shared" si="28"/>
        <v>dump:3312000173&amp;1113000173</v>
      </c>
      <c r="F497" s="3" t="str">
        <f t="shared" si="31"/>
        <v>哑资源设备_494</v>
      </c>
      <c r="G497" s="10" t="s">
        <v>406</v>
      </c>
      <c r="H497" s="3" t="str">
        <f>"检测机架"&amp;INDEX([1]机架!$D:$D,C497+3)&amp;IF(D497&lt;&gt;"","和"&amp;INDEX([1]机架!$D:$D,D497+3),"")&amp;"的数据"</f>
        <v>检测机架威海青岛北路の机架-9和威海新威路522局の机架-1的数据</v>
      </c>
      <c r="I497" s="3">
        <f>INDEX([1]机架!$C:$C,C497+3)</f>
        <v>3710002133</v>
      </c>
      <c r="J497" s="3">
        <f>IF(D497&lt;&gt;"",INDEX([1]机架!$C:$C,D497+3),0)</f>
        <v>3710003111</v>
      </c>
    </row>
    <row r="498" spans="1:10" ht="16.5" x14ac:dyDescent="0.2">
      <c r="A498" s="3" t="s">
        <v>393</v>
      </c>
      <c r="B498" s="3">
        <v>495</v>
      </c>
      <c r="C498" s="3">
        <f t="shared" si="29"/>
        <v>989</v>
      </c>
      <c r="D498" s="3">
        <f t="shared" si="30"/>
        <v>990</v>
      </c>
      <c r="E498" s="3" t="str">
        <f t="shared" si="28"/>
        <v>dump:2113000173&amp;3113000173</v>
      </c>
      <c r="F498" s="3" t="str">
        <f t="shared" si="31"/>
        <v>哑资源设备_495</v>
      </c>
      <c r="G498" s="10" t="s">
        <v>406</v>
      </c>
      <c r="H498" s="3" t="str">
        <f>"检测机架"&amp;INDEX([1]机架!$D:$D,C498+3)&amp;IF(D498&lt;&gt;"","和"&amp;INDEX([1]机架!$D:$D,D498+3),"")&amp;"的数据"</f>
        <v>检测机架威海新威路522局の机架-2和威海新威路522局の机架-3的数据</v>
      </c>
      <c r="I498" s="3">
        <f>INDEX([1]机架!$C:$C,C498+3)</f>
        <v>3710003112</v>
      </c>
      <c r="J498" s="3">
        <f>IF(D498&lt;&gt;"",INDEX([1]机架!$C:$C,D498+3),0)</f>
        <v>3710003113</v>
      </c>
    </row>
    <row r="499" spans="1:10" ht="16.5" x14ac:dyDescent="0.2">
      <c r="A499" s="3" t="s">
        <v>393</v>
      </c>
      <c r="B499" s="3">
        <v>496</v>
      </c>
      <c r="C499" s="3">
        <f t="shared" si="29"/>
        <v>991</v>
      </c>
      <c r="D499" s="3">
        <f t="shared" si="30"/>
        <v>992</v>
      </c>
      <c r="E499" s="3" t="str">
        <f t="shared" si="28"/>
        <v>dump:1213000173&amp;2213000173</v>
      </c>
      <c r="F499" s="3" t="str">
        <f t="shared" si="31"/>
        <v>哑资源设备_496</v>
      </c>
      <c r="G499" s="10" t="s">
        <v>406</v>
      </c>
      <c r="H499" s="3" t="str">
        <f>"检测机架"&amp;INDEX([1]机架!$D:$D,C499+3)&amp;IF(D499&lt;&gt;"","和"&amp;INDEX([1]机架!$D:$D,D499+3),"")&amp;"的数据"</f>
        <v>检测机架威海新威路522局の机架-4和威海新威路522局の机架-5的数据</v>
      </c>
      <c r="I499" s="3">
        <f>INDEX([1]机架!$C:$C,C499+3)</f>
        <v>3710003121</v>
      </c>
      <c r="J499" s="3">
        <f>IF(D499&lt;&gt;"",INDEX([1]机架!$C:$C,D499+3),0)</f>
        <v>3710003122</v>
      </c>
    </row>
    <row r="500" spans="1:10" ht="16.5" x14ac:dyDescent="0.2">
      <c r="A500" s="3" t="s">
        <v>393</v>
      </c>
      <c r="B500" s="3">
        <v>497</v>
      </c>
      <c r="C500" s="3">
        <f t="shared" si="29"/>
        <v>993</v>
      </c>
      <c r="D500" s="3">
        <f t="shared" si="30"/>
        <v>994</v>
      </c>
      <c r="E500" s="3" t="str">
        <f t="shared" si="28"/>
        <v>dump:3213000173&amp;1313000173</v>
      </c>
      <c r="F500" s="3" t="str">
        <f t="shared" si="31"/>
        <v>哑资源设备_497</v>
      </c>
      <c r="G500" s="10" t="s">
        <v>406</v>
      </c>
      <c r="H500" s="3" t="str">
        <f>"检测机架"&amp;INDEX([1]机架!$D:$D,C500+3)&amp;IF(D500&lt;&gt;"","和"&amp;INDEX([1]机架!$D:$D,D500+3),"")&amp;"的数据"</f>
        <v>检测机架威海新威路522局の机架-6和威海新威路522局の机架-7的数据</v>
      </c>
      <c r="I500" s="3">
        <f>INDEX([1]机架!$C:$C,C500+3)</f>
        <v>3710003123</v>
      </c>
      <c r="J500" s="3">
        <f>IF(D500&lt;&gt;"",INDEX([1]机架!$C:$C,D500+3),0)</f>
        <v>3710003131</v>
      </c>
    </row>
    <row r="501" spans="1:10" ht="16.5" x14ac:dyDescent="0.2">
      <c r="A501" s="3" t="s">
        <v>393</v>
      </c>
      <c r="B501" s="3">
        <v>498</v>
      </c>
      <c r="C501" s="3">
        <f t="shared" si="29"/>
        <v>995</v>
      </c>
      <c r="D501" s="3">
        <f t="shared" si="30"/>
        <v>996</v>
      </c>
      <c r="E501" s="3" t="str">
        <f t="shared" si="28"/>
        <v>dump:2313000173&amp;3313000173</v>
      </c>
      <c r="F501" s="3" t="str">
        <f t="shared" si="31"/>
        <v>哑资源设备_498</v>
      </c>
      <c r="G501" s="10" t="s">
        <v>406</v>
      </c>
      <c r="H501" s="3" t="str">
        <f>"检测机架"&amp;INDEX([1]机架!$D:$D,C501+3)&amp;IF(D501&lt;&gt;"","和"&amp;INDEX([1]机架!$D:$D,D501+3),"")&amp;"的数据"</f>
        <v>检测机架威海新威路522局の机架-8和威海新威路522局の机架-9的数据</v>
      </c>
      <c r="I501" s="3">
        <f>INDEX([1]机架!$C:$C,C501+3)</f>
        <v>3710003132</v>
      </c>
      <c r="J501" s="3">
        <f>IF(D501&lt;&gt;"",INDEX([1]机架!$C:$C,D501+3),0)</f>
        <v>3710003133</v>
      </c>
    </row>
    <row r="502" spans="1:10" ht="16.5" x14ac:dyDescent="0.2">
      <c r="A502" s="3" t="s">
        <v>393</v>
      </c>
      <c r="B502" s="3">
        <v>499</v>
      </c>
      <c r="C502" s="3">
        <f t="shared" si="29"/>
        <v>997</v>
      </c>
      <c r="D502" s="3">
        <f t="shared" si="30"/>
        <v>998</v>
      </c>
      <c r="E502" s="3" t="str">
        <f t="shared" si="28"/>
        <v>dump:1114000173&amp;2114000173</v>
      </c>
      <c r="F502" s="3" t="str">
        <f t="shared" si="31"/>
        <v>哑资源设备_499</v>
      </c>
      <c r="G502" s="10" t="s">
        <v>406</v>
      </c>
      <c r="H502" s="3" t="str">
        <f>"检测机架"&amp;INDEX([1]机架!$D:$D,C502+3)&amp;IF(D502&lt;&gt;"","和"&amp;INDEX([1]机架!$D:$D,D502+3),"")&amp;"的数据"</f>
        <v>检测机架威海初村の机架-1和威海初村の机架-2的数据</v>
      </c>
      <c r="I502" s="3">
        <f>INDEX([1]机架!$C:$C,C502+3)</f>
        <v>3710004111</v>
      </c>
      <c r="J502" s="3">
        <f>IF(D502&lt;&gt;"",INDEX([1]机架!$C:$C,D502+3),0)</f>
        <v>3710004112</v>
      </c>
    </row>
    <row r="503" spans="1:10" ht="16.5" x14ac:dyDescent="0.2">
      <c r="A503" s="3" t="s">
        <v>393</v>
      </c>
      <c r="B503" s="3">
        <v>500</v>
      </c>
      <c r="C503" s="3">
        <f t="shared" si="29"/>
        <v>999</v>
      </c>
      <c r="D503" s="3">
        <f t="shared" si="30"/>
        <v>1000</v>
      </c>
      <c r="E503" s="3" t="str">
        <f t="shared" si="28"/>
        <v>dump:3114000173&amp;1214000173</v>
      </c>
      <c r="F503" s="3" t="str">
        <f t="shared" si="31"/>
        <v>哑资源设备_500</v>
      </c>
      <c r="G503" s="10" t="s">
        <v>406</v>
      </c>
      <c r="H503" s="3" t="str">
        <f>"检测机架"&amp;INDEX([1]机架!$D:$D,C503+3)&amp;IF(D503&lt;&gt;"","和"&amp;INDEX([1]机架!$D:$D,D503+3),"")&amp;"的数据"</f>
        <v>检测机架威海初村の机架-3和威海初村の机架-4的数据</v>
      </c>
      <c r="I503" s="3">
        <f>INDEX([1]机架!$C:$C,C503+3)</f>
        <v>3710004113</v>
      </c>
      <c r="J503" s="3">
        <f>IF(D503&lt;&gt;"",INDEX([1]机架!$C:$C,D503+3),0)</f>
        <v>3710004121</v>
      </c>
    </row>
    <row r="504" spans="1:10" ht="16.5" x14ac:dyDescent="0.2">
      <c r="A504" s="3" t="s">
        <v>393</v>
      </c>
      <c r="B504" s="3">
        <v>501</v>
      </c>
      <c r="C504" s="3">
        <f t="shared" si="29"/>
        <v>1001</v>
      </c>
      <c r="D504" s="3">
        <f t="shared" si="30"/>
        <v>1002</v>
      </c>
      <c r="E504" s="3" t="str">
        <f t="shared" si="28"/>
        <v>dump:2214000173&amp;3214000173</v>
      </c>
      <c r="F504" s="3" t="str">
        <f t="shared" si="31"/>
        <v>哑资源设备_501</v>
      </c>
      <c r="G504" s="10" t="s">
        <v>406</v>
      </c>
      <c r="H504" s="3" t="str">
        <f>"检测机架"&amp;INDEX([1]机架!$D:$D,C504+3)&amp;IF(D504&lt;&gt;"","和"&amp;INDEX([1]机架!$D:$D,D504+3),"")&amp;"的数据"</f>
        <v>检测机架威海初村の机架-5和威海初村の机架-6的数据</v>
      </c>
      <c r="I504" s="3">
        <f>INDEX([1]机架!$C:$C,C504+3)</f>
        <v>3710004122</v>
      </c>
      <c r="J504" s="3">
        <f>IF(D504&lt;&gt;"",INDEX([1]机架!$C:$C,D504+3),0)</f>
        <v>3710004123</v>
      </c>
    </row>
    <row r="505" spans="1:10" ht="16.5" x14ac:dyDescent="0.2">
      <c r="A505" s="3" t="s">
        <v>393</v>
      </c>
      <c r="B505" s="3">
        <v>502</v>
      </c>
      <c r="C505" s="3">
        <f t="shared" si="29"/>
        <v>1003</v>
      </c>
      <c r="D505" s="3">
        <f t="shared" si="30"/>
        <v>1004</v>
      </c>
      <c r="E505" s="3" t="str">
        <f t="shared" si="28"/>
        <v>dump:1314000173&amp;2314000173</v>
      </c>
      <c r="F505" s="3" t="str">
        <f t="shared" si="31"/>
        <v>哑资源设备_502</v>
      </c>
      <c r="G505" s="10" t="s">
        <v>406</v>
      </c>
      <c r="H505" s="3" t="str">
        <f>"检测机架"&amp;INDEX([1]机架!$D:$D,C505+3)&amp;IF(D505&lt;&gt;"","和"&amp;INDEX([1]机架!$D:$D,D505+3),"")&amp;"的数据"</f>
        <v>检测机架威海初村の机架-7和威海初村の机架-8的数据</v>
      </c>
      <c r="I505" s="3">
        <f>INDEX([1]机架!$C:$C,C505+3)</f>
        <v>3710004131</v>
      </c>
      <c r="J505" s="3">
        <f>IF(D505&lt;&gt;"",INDEX([1]机架!$C:$C,D505+3),0)</f>
        <v>3710004132</v>
      </c>
    </row>
    <row r="506" spans="1:10" ht="16.5" x14ac:dyDescent="0.2">
      <c r="A506" s="3" t="s">
        <v>393</v>
      </c>
      <c r="B506" s="3">
        <v>503</v>
      </c>
      <c r="C506" s="3">
        <f t="shared" si="29"/>
        <v>1005</v>
      </c>
      <c r="D506" s="3">
        <f t="shared" si="30"/>
        <v>1006</v>
      </c>
      <c r="E506" s="3" t="str">
        <f t="shared" si="28"/>
        <v>dump:3314000173&amp;1115000173</v>
      </c>
      <c r="F506" s="3" t="str">
        <f t="shared" si="31"/>
        <v>哑资源设备_503</v>
      </c>
      <c r="G506" s="10" t="s">
        <v>406</v>
      </c>
      <c r="H506" s="3" t="str">
        <f>"检测机架"&amp;INDEX([1]机架!$D:$D,C506+3)&amp;IF(D506&lt;&gt;"","和"&amp;INDEX([1]机架!$D:$D,D506+3),"")&amp;"的数据"</f>
        <v>检测机架威海初村の机架-9和威海田村の机架-1的数据</v>
      </c>
      <c r="I506" s="3">
        <f>INDEX([1]机架!$C:$C,C506+3)</f>
        <v>3710004133</v>
      </c>
      <c r="J506" s="3">
        <f>IF(D506&lt;&gt;"",INDEX([1]机架!$C:$C,D506+3),0)</f>
        <v>3710005111</v>
      </c>
    </row>
    <row r="507" spans="1:10" ht="16.5" x14ac:dyDescent="0.2">
      <c r="A507" s="3" t="s">
        <v>393</v>
      </c>
      <c r="B507" s="3">
        <v>504</v>
      </c>
      <c r="C507" s="3">
        <f t="shared" si="29"/>
        <v>1007</v>
      </c>
      <c r="D507" s="3">
        <f t="shared" si="30"/>
        <v>1008</v>
      </c>
      <c r="E507" s="3" t="str">
        <f t="shared" si="28"/>
        <v>dump:2115000173&amp;3115000173</v>
      </c>
      <c r="F507" s="3" t="str">
        <f t="shared" si="31"/>
        <v>哑资源设备_504</v>
      </c>
      <c r="G507" s="10" t="s">
        <v>406</v>
      </c>
      <c r="H507" s="3" t="str">
        <f>"检测机架"&amp;INDEX([1]机架!$D:$D,C507+3)&amp;IF(D507&lt;&gt;"","和"&amp;INDEX([1]机架!$D:$D,D507+3),"")&amp;"的数据"</f>
        <v>检测机架威海田村の机架-2和威海田村の机架-3的数据</v>
      </c>
      <c r="I507" s="3">
        <f>INDEX([1]机架!$C:$C,C507+3)</f>
        <v>3710005112</v>
      </c>
      <c r="J507" s="3">
        <f>IF(D507&lt;&gt;"",INDEX([1]机架!$C:$C,D507+3),0)</f>
        <v>3710005113</v>
      </c>
    </row>
    <row r="508" spans="1:10" ht="16.5" x14ac:dyDescent="0.2">
      <c r="A508" s="3" t="s">
        <v>393</v>
      </c>
      <c r="B508" s="3">
        <v>505</v>
      </c>
      <c r="C508" s="3">
        <f t="shared" si="29"/>
        <v>1009</v>
      </c>
      <c r="D508" s="3">
        <f t="shared" si="30"/>
        <v>1010</v>
      </c>
      <c r="E508" s="3" t="str">
        <f t="shared" si="28"/>
        <v>dump:1215000173&amp;2215000173</v>
      </c>
      <c r="F508" s="3" t="str">
        <f t="shared" si="31"/>
        <v>哑资源设备_505</v>
      </c>
      <c r="G508" s="10" t="s">
        <v>406</v>
      </c>
      <c r="H508" s="3" t="str">
        <f>"检测机架"&amp;INDEX([1]机架!$D:$D,C508+3)&amp;IF(D508&lt;&gt;"","和"&amp;INDEX([1]机架!$D:$D,D508+3),"")&amp;"的数据"</f>
        <v>检测机架威海田村の机架-4和威海田村の机架-5的数据</v>
      </c>
      <c r="I508" s="3">
        <f>INDEX([1]机架!$C:$C,C508+3)</f>
        <v>3710005121</v>
      </c>
      <c r="J508" s="3">
        <f>IF(D508&lt;&gt;"",INDEX([1]机架!$C:$C,D508+3),0)</f>
        <v>3710005122</v>
      </c>
    </row>
    <row r="509" spans="1:10" ht="16.5" x14ac:dyDescent="0.2">
      <c r="A509" s="3" t="s">
        <v>393</v>
      </c>
      <c r="B509" s="3">
        <v>506</v>
      </c>
      <c r="C509" s="3">
        <f t="shared" si="29"/>
        <v>1011</v>
      </c>
      <c r="D509" s="3">
        <f t="shared" si="30"/>
        <v>1012</v>
      </c>
      <c r="E509" s="3" t="str">
        <f t="shared" si="28"/>
        <v>dump:3215000173&amp;1315000173</v>
      </c>
      <c r="F509" s="3" t="str">
        <f t="shared" si="31"/>
        <v>哑资源设备_506</v>
      </c>
      <c r="G509" s="10" t="s">
        <v>406</v>
      </c>
      <c r="H509" s="3" t="str">
        <f>"检测机架"&amp;INDEX([1]机架!$D:$D,C509+3)&amp;IF(D509&lt;&gt;"","和"&amp;INDEX([1]机架!$D:$D,D509+3),"")&amp;"的数据"</f>
        <v>检测机架威海田村の机架-6和威海田村の机架-7的数据</v>
      </c>
      <c r="I509" s="3">
        <f>INDEX([1]机架!$C:$C,C509+3)</f>
        <v>3710005123</v>
      </c>
      <c r="J509" s="3">
        <f>IF(D509&lt;&gt;"",INDEX([1]机架!$C:$C,D509+3),0)</f>
        <v>3710005131</v>
      </c>
    </row>
    <row r="510" spans="1:10" ht="16.5" x14ac:dyDescent="0.2">
      <c r="A510" s="3" t="s">
        <v>393</v>
      </c>
      <c r="B510" s="3">
        <v>507</v>
      </c>
      <c r="C510" s="3">
        <f t="shared" si="29"/>
        <v>1013</v>
      </c>
      <c r="D510" s="3">
        <f t="shared" si="30"/>
        <v>1014</v>
      </c>
      <c r="E510" s="3" t="str">
        <f t="shared" si="28"/>
        <v>dump:2315000173&amp;3315000173</v>
      </c>
      <c r="F510" s="3" t="str">
        <f t="shared" si="31"/>
        <v>哑资源设备_507</v>
      </c>
      <c r="G510" s="10" t="s">
        <v>406</v>
      </c>
      <c r="H510" s="3" t="str">
        <f>"检测机架"&amp;INDEX([1]机架!$D:$D,C510+3)&amp;IF(D510&lt;&gt;"","和"&amp;INDEX([1]机架!$D:$D,D510+3),"")&amp;"的数据"</f>
        <v>检测机架威海田村の机架-8和威海田村の机架-9的数据</v>
      </c>
      <c r="I510" s="3">
        <f>INDEX([1]机架!$C:$C,C510+3)</f>
        <v>3710005132</v>
      </c>
      <c r="J510" s="3">
        <f>IF(D510&lt;&gt;"",INDEX([1]机架!$C:$C,D510+3),0)</f>
        <v>3710005133</v>
      </c>
    </row>
    <row r="511" spans="1:10" ht="16.5" x14ac:dyDescent="0.2">
      <c r="A511" s="3" t="s">
        <v>393</v>
      </c>
      <c r="B511" s="3">
        <v>508</v>
      </c>
      <c r="C511" s="3">
        <f t="shared" si="29"/>
        <v>1015</v>
      </c>
      <c r="D511" s="3">
        <f t="shared" si="30"/>
        <v>1016</v>
      </c>
      <c r="E511" s="3" t="str">
        <f t="shared" si="28"/>
        <v>dump:1116000173&amp;2116000173</v>
      </c>
      <c r="F511" s="3" t="str">
        <f t="shared" si="31"/>
        <v>哑资源设备_508</v>
      </c>
      <c r="G511" s="10" t="s">
        <v>406</v>
      </c>
      <c r="H511" s="3" t="str">
        <f>"检测机架"&amp;INDEX([1]机架!$D:$D,C511+3)&amp;IF(D511&lt;&gt;"","和"&amp;INDEX([1]机架!$D:$D,D511+3),"")&amp;"的数据"</f>
        <v>检测机架乳山青山路の机架-1和乳山青山路の机架-2的数据</v>
      </c>
      <c r="I511" s="3">
        <f>INDEX([1]机架!$C:$C,C511+3)</f>
        <v>3710006111</v>
      </c>
      <c r="J511" s="3">
        <f>IF(D511&lt;&gt;"",INDEX([1]机架!$C:$C,D511+3),0)</f>
        <v>3710006112</v>
      </c>
    </row>
    <row r="512" spans="1:10" ht="16.5" x14ac:dyDescent="0.2">
      <c r="A512" s="3" t="s">
        <v>393</v>
      </c>
      <c r="B512" s="3">
        <v>509</v>
      </c>
      <c r="C512" s="3">
        <f t="shared" si="29"/>
        <v>1017</v>
      </c>
      <c r="D512" s="3">
        <f t="shared" si="30"/>
        <v>1018</v>
      </c>
      <c r="E512" s="3" t="str">
        <f t="shared" si="28"/>
        <v>dump:3116000173&amp;1216000173</v>
      </c>
      <c r="F512" s="3" t="str">
        <f t="shared" si="31"/>
        <v>哑资源设备_509</v>
      </c>
      <c r="G512" s="10" t="s">
        <v>406</v>
      </c>
      <c r="H512" s="3" t="str">
        <f>"检测机架"&amp;INDEX([1]机架!$D:$D,C512+3)&amp;IF(D512&lt;&gt;"","和"&amp;INDEX([1]机架!$D:$D,D512+3),"")&amp;"的数据"</f>
        <v>检测机架乳山青山路の机架-3和乳山青山路の机架-4的数据</v>
      </c>
      <c r="I512" s="3">
        <f>INDEX([1]机架!$C:$C,C512+3)</f>
        <v>3710006113</v>
      </c>
      <c r="J512" s="3">
        <f>IF(D512&lt;&gt;"",INDEX([1]机架!$C:$C,D512+3),0)</f>
        <v>3710006121</v>
      </c>
    </row>
    <row r="513" spans="1:10" ht="16.5" x14ac:dyDescent="0.2">
      <c r="A513" s="3" t="s">
        <v>393</v>
      </c>
      <c r="B513" s="3">
        <v>510</v>
      </c>
      <c r="C513" s="3">
        <f t="shared" si="29"/>
        <v>1019</v>
      </c>
      <c r="D513" s="3">
        <f t="shared" si="30"/>
        <v>1020</v>
      </c>
      <c r="E513" s="3" t="str">
        <f t="shared" si="28"/>
        <v>dump:2216000173&amp;3216000173</v>
      </c>
      <c r="F513" s="3" t="str">
        <f t="shared" si="31"/>
        <v>哑资源设备_510</v>
      </c>
      <c r="G513" s="10" t="s">
        <v>406</v>
      </c>
      <c r="H513" s="3" t="str">
        <f>"检测机架"&amp;INDEX([1]机架!$D:$D,C513+3)&amp;IF(D513&lt;&gt;"","和"&amp;INDEX([1]机架!$D:$D,D513+3),"")&amp;"的数据"</f>
        <v>检测机架乳山青山路の机架-5和乳山青山路の机架-6的数据</v>
      </c>
      <c r="I513" s="3">
        <f>INDEX([1]机架!$C:$C,C513+3)</f>
        <v>3710006122</v>
      </c>
      <c r="J513" s="3">
        <f>IF(D513&lt;&gt;"",INDEX([1]机架!$C:$C,D513+3),0)</f>
        <v>3710006123</v>
      </c>
    </row>
    <row r="514" spans="1:10" ht="16.5" x14ac:dyDescent="0.2">
      <c r="A514" s="3" t="s">
        <v>393</v>
      </c>
      <c r="B514" s="3">
        <v>511</v>
      </c>
      <c r="C514" s="3">
        <f t="shared" si="29"/>
        <v>1021</v>
      </c>
      <c r="D514" s="3">
        <f t="shared" si="30"/>
        <v>1022</v>
      </c>
      <c r="E514" s="3" t="str">
        <f t="shared" si="28"/>
        <v>dump:1316000173&amp;2316000173</v>
      </c>
      <c r="F514" s="3" t="str">
        <f t="shared" si="31"/>
        <v>哑资源设备_511</v>
      </c>
      <c r="G514" s="10" t="s">
        <v>406</v>
      </c>
      <c r="H514" s="3" t="str">
        <f>"检测机架"&amp;INDEX([1]机架!$D:$D,C514+3)&amp;IF(D514&lt;&gt;"","和"&amp;INDEX([1]机架!$D:$D,D514+3),"")&amp;"的数据"</f>
        <v>检测机架乳山青山路の机架-7和乳山青山路の机架-8的数据</v>
      </c>
      <c r="I514" s="3">
        <f>INDEX([1]机架!$C:$C,C514+3)</f>
        <v>3710006131</v>
      </c>
      <c r="J514" s="3">
        <f>IF(D514&lt;&gt;"",INDEX([1]机架!$C:$C,D514+3),0)</f>
        <v>3710006132</v>
      </c>
    </row>
    <row r="515" spans="1:10" ht="16.5" x14ac:dyDescent="0.2">
      <c r="A515" s="3" t="s">
        <v>393</v>
      </c>
      <c r="B515" s="3">
        <v>512</v>
      </c>
      <c r="C515" s="3">
        <f t="shared" si="29"/>
        <v>1023</v>
      </c>
      <c r="D515" s="3">
        <f t="shared" si="30"/>
        <v>1024</v>
      </c>
      <c r="E515" s="3" t="str">
        <f t="shared" si="28"/>
        <v>dump:3316000173&amp;1117000173</v>
      </c>
      <c r="F515" s="3" t="str">
        <f t="shared" si="31"/>
        <v>哑资源设备_512</v>
      </c>
      <c r="G515" s="10" t="s">
        <v>406</v>
      </c>
      <c r="H515" s="3" t="str">
        <f>"检测机架"&amp;INDEX([1]机架!$D:$D,C515+3)&amp;IF(D515&lt;&gt;"","和"&amp;INDEX([1]机架!$D:$D,D515+3),"")&amp;"的数据"</f>
        <v>检测机架乳山青山路の机架-9和乳山冯家の机架-1的数据</v>
      </c>
      <c r="I515" s="3">
        <f>INDEX([1]机架!$C:$C,C515+3)</f>
        <v>3710006133</v>
      </c>
      <c r="J515" s="3">
        <f>IF(D515&lt;&gt;"",INDEX([1]机架!$C:$C,D515+3),0)</f>
        <v>3710007111</v>
      </c>
    </row>
    <row r="516" spans="1:10" ht="16.5" x14ac:dyDescent="0.2">
      <c r="A516" s="3" t="s">
        <v>393</v>
      </c>
      <c r="B516" s="3">
        <v>513</v>
      </c>
      <c r="C516" s="3">
        <f t="shared" si="29"/>
        <v>1025</v>
      </c>
      <c r="D516" s="3">
        <f t="shared" si="30"/>
        <v>1026</v>
      </c>
      <c r="E516" s="3" t="str">
        <f t="shared" ref="E516:E579" si="32">"dump:"&amp;Reverse(I516)&amp;"&amp;"&amp;Reverse(J516)</f>
        <v>dump:2117000173&amp;3117000173</v>
      </c>
      <c r="F516" s="3" t="str">
        <f t="shared" si="31"/>
        <v>哑资源设备_513</v>
      </c>
      <c r="G516" s="10" t="s">
        <v>406</v>
      </c>
      <c r="H516" s="3" t="str">
        <f>"检测机架"&amp;INDEX([1]机架!$D:$D,C516+3)&amp;IF(D516&lt;&gt;"","和"&amp;INDEX([1]机架!$D:$D,D516+3),"")&amp;"的数据"</f>
        <v>检测机架乳山冯家の机架-2和乳山冯家の机架-3的数据</v>
      </c>
      <c r="I516" s="3">
        <f>INDEX([1]机架!$C:$C,C516+3)</f>
        <v>3710007112</v>
      </c>
      <c r="J516" s="3">
        <f>IF(D516&lt;&gt;"",INDEX([1]机架!$C:$C,D516+3),0)</f>
        <v>3710007113</v>
      </c>
    </row>
    <row r="517" spans="1:10" ht="16.5" x14ac:dyDescent="0.2">
      <c r="A517" s="3" t="s">
        <v>393</v>
      </c>
      <c r="B517" s="3">
        <v>514</v>
      </c>
      <c r="C517" s="3">
        <f t="shared" ref="C517:C580" si="33">MOD(B517-1,INT(($N$3+1)/2))*2+1</f>
        <v>1027</v>
      </c>
      <c r="D517" s="3">
        <f t="shared" ref="D517:D580" si="34">IF(C517&lt;$N$3,MOD(B517-1,INT(($N$3+1)/2))*2+2,"")</f>
        <v>1028</v>
      </c>
      <c r="E517" s="3" t="str">
        <f t="shared" si="32"/>
        <v>dump:1217000173&amp;2217000173</v>
      </c>
      <c r="F517" s="3" t="str">
        <f t="shared" ref="F517:F580" si="35">"哑资源设备_"&amp;B517</f>
        <v>哑资源设备_514</v>
      </c>
      <c r="G517" s="10" t="s">
        <v>406</v>
      </c>
      <c r="H517" s="3" t="str">
        <f>"检测机架"&amp;INDEX([1]机架!$D:$D,C517+3)&amp;IF(D517&lt;&gt;"","和"&amp;INDEX([1]机架!$D:$D,D517+3),"")&amp;"的数据"</f>
        <v>检测机架乳山冯家の机架-4和乳山冯家の机架-5的数据</v>
      </c>
      <c r="I517" s="3">
        <f>INDEX([1]机架!$C:$C,C517+3)</f>
        <v>3710007121</v>
      </c>
      <c r="J517" s="3">
        <f>IF(D517&lt;&gt;"",INDEX([1]机架!$C:$C,D517+3),0)</f>
        <v>3710007122</v>
      </c>
    </row>
    <row r="518" spans="1:10" ht="16.5" x14ac:dyDescent="0.2">
      <c r="A518" s="3" t="s">
        <v>393</v>
      </c>
      <c r="B518" s="3">
        <v>515</v>
      </c>
      <c r="C518" s="3">
        <f t="shared" si="33"/>
        <v>1029</v>
      </c>
      <c r="D518" s="3">
        <f t="shared" si="34"/>
        <v>1030</v>
      </c>
      <c r="E518" s="3" t="str">
        <f t="shared" si="32"/>
        <v>dump:3217000173&amp;1317000173</v>
      </c>
      <c r="F518" s="3" t="str">
        <f t="shared" si="35"/>
        <v>哑资源设备_515</v>
      </c>
      <c r="G518" s="10" t="s">
        <v>406</v>
      </c>
      <c r="H518" s="3" t="str">
        <f>"检测机架"&amp;INDEX([1]机架!$D:$D,C518+3)&amp;IF(D518&lt;&gt;"","和"&amp;INDEX([1]机架!$D:$D,D518+3),"")&amp;"的数据"</f>
        <v>检测机架乳山冯家の机架-6和乳山冯家の机架-7的数据</v>
      </c>
      <c r="I518" s="3">
        <f>INDEX([1]机架!$C:$C,C518+3)</f>
        <v>3710007123</v>
      </c>
      <c r="J518" s="3">
        <f>IF(D518&lt;&gt;"",INDEX([1]机架!$C:$C,D518+3),0)</f>
        <v>3710007131</v>
      </c>
    </row>
    <row r="519" spans="1:10" ht="16.5" x14ac:dyDescent="0.2">
      <c r="A519" s="3" t="s">
        <v>393</v>
      </c>
      <c r="B519" s="3">
        <v>516</v>
      </c>
      <c r="C519" s="3">
        <f t="shared" si="33"/>
        <v>1031</v>
      </c>
      <c r="D519" s="3">
        <f t="shared" si="34"/>
        <v>1032</v>
      </c>
      <c r="E519" s="3" t="str">
        <f t="shared" si="32"/>
        <v>dump:2317000173&amp;3317000173</v>
      </c>
      <c r="F519" s="3" t="str">
        <f t="shared" si="35"/>
        <v>哑资源设备_516</v>
      </c>
      <c r="G519" s="10" t="s">
        <v>406</v>
      </c>
      <c r="H519" s="3" t="str">
        <f>"检测机架"&amp;INDEX([1]机架!$D:$D,C519+3)&amp;IF(D519&lt;&gt;"","和"&amp;INDEX([1]机架!$D:$D,D519+3),"")&amp;"的数据"</f>
        <v>检测机架乳山冯家の机架-8和乳山冯家の机架-9的数据</v>
      </c>
      <c r="I519" s="3">
        <f>INDEX([1]机架!$C:$C,C519+3)</f>
        <v>3710007132</v>
      </c>
      <c r="J519" s="3">
        <f>IF(D519&lt;&gt;"",INDEX([1]机架!$C:$C,D519+3),0)</f>
        <v>3710007133</v>
      </c>
    </row>
    <row r="520" spans="1:10" ht="16.5" x14ac:dyDescent="0.2">
      <c r="A520" s="3" t="s">
        <v>393</v>
      </c>
      <c r="B520" s="3">
        <v>517</v>
      </c>
      <c r="C520" s="3">
        <f t="shared" si="33"/>
        <v>1033</v>
      </c>
      <c r="D520" s="3">
        <f t="shared" si="34"/>
        <v>1034</v>
      </c>
      <c r="E520" s="3" t="str">
        <f t="shared" si="32"/>
        <v>dump:1118000173&amp;2118000173</v>
      </c>
      <c r="F520" s="3" t="str">
        <f t="shared" si="35"/>
        <v>哑资源设备_517</v>
      </c>
      <c r="G520" s="10" t="s">
        <v>406</v>
      </c>
      <c r="H520" s="3" t="str">
        <f>"检测机架"&amp;INDEX([1]机架!$D:$D,C520+3)&amp;IF(D520&lt;&gt;"","和"&amp;INDEX([1]机架!$D:$D,D520+3),"")&amp;"的数据"</f>
        <v>检测机架文登文山路の机架-1和文登文山路の机架-2的数据</v>
      </c>
      <c r="I520" s="3">
        <f>INDEX([1]机架!$C:$C,C520+3)</f>
        <v>3710008111</v>
      </c>
      <c r="J520" s="3">
        <f>IF(D520&lt;&gt;"",INDEX([1]机架!$C:$C,D520+3),0)</f>
        <v>3710008112</v>
      </c>
    </row>
    <row r="521" spans="1:10" ht="16.5" x14ac:dyDescent="0.2">
      <c r="A521" s="3" t="s">
        <v>393</v>
      </c>
      <c r="B521" s="3">
        <v>518</v>
      </c>
      <c r="C521" s="3">
        <f t="shared" si="33"/>
        <v>1035</v>
      </c>
      <c r="D521" s="3">
        <f t="shared" si="34"/>
        <v>1036</v>
      </c>
      <c r="E521" s="3" t="str">
        <f t="shared" si="32"/>
        <v>dump:3118000173&amp;1218000173</v>
      </c>
      <c r="F521" s="3" t="str">
        <f t="shared" si="35"/>
        <v>哑资源设备_518</v>
      </c>
      <c r="G521" s="10" t="s">
        <v>406</v>
      </c>
      <c r="H521" s="3" t="str">
        <f>"检测机架"&amp;INDEX([1]机架!$D:$D,C521+3)&amp;IF(D521&lt;&gt;"","和"&amp;INDEX([1]机架!$D:$D,D521+3),"")&amp;"的数据"</f>
        <v>检测机架文登文山路の机架-3和文登文山路の机架-4的数据</v>
      </c>
      <c r="I521" s="3">
        <f>INDEX([1]机架!$C:$C,C521+3)</f>
        <v>3710008113</v>
      </c>
      <c r="J521" s="3">
        <f>IF(D521&lt;&gt;"",INDEX([1]机架!$C:$C,D521+3),0)</f>
        <v>3710008121</v>
      </c>
    </row>
    <row r="522" spans="1:10" ht="16.5" x14ac:dyDescent="0.2">
      <c r="A522" s="3" t="s">
        <v>393</v>
      </c>
      <c r="B522" s="3">
        <v>519</v>
      </c>
      <c r="C522" s="3">
        <f t="shared" si="33"/>
        <v>1037</v>
      </c>
      <c r="D522" s="3">
        <f t="shared" si="34"/>
        <v>1038</v>
      </c>
      <c r="E522" s="3" t="str">
        <f t="shared" si="32"/>
        <v>dump:2218000173&amp;3218000173</v>
      </c>
      <c r="F522" s="3" t="str">
        <f t="shared" si="35"/>
        <v>哑资源设备_519</v>
      </c>
      <c r="G522" s="10" t="s">
        <v>406</v>
      </c>
      <c r="H522" s="3" t="str">
        <f>"检测机架"&amp;INDEX([1]机架!$D:$D,C522+3)&amp;IF(D522&lt;&gt;"","和"&amp;INDEX([1]机架!$D:$D,D522+3),"")&amp;"的数据"</f>
        <v>检测机架文登文山路の机架-5和文登文山路の机架-6的数据</v>
      </c>
      <c r="I522" s="3">
        <f>INDEX([1]机架!$C:$C,C522+3)</f>
        <v>3710008122</v>
      </c>
      <c r="J522" s="3">
        <f>IF(D522&lt;&gt;"",INDEX([1]机架!$C:$C,D522+3),0)</f>
        <v>3710008123</v>
      </c>
    </row>
    <row r="523" spans="1:10" ht="16.5" x14ac:dyDescent="0.2">
      <c r="A523" s="3" t="s">
        <v>393</v>
      </c>
      <c r="B523" s="3">
        <v>520</v>
      </c>
      <c r="C523" s="3">
        <f t="shared" si="33"/>
        <v>1039</v>
      </c>
      <c r="D523" s="3">
        <f t="shared" si="34"/>
        <v>1040</v>
      </c>
      <c r="E523" s="3" t="str">
        <f t="shared" si="32"/>
        <v>dump:1318000173&amp;2318000173</v>
      </c>
      <c r="F523" s="3" t="str">
        <f t="shared" si="35"/>
        <v>哑资源设备_520</v>
      </c>
      <c r="G523" s="10" t="s">
        <v>406</v>
      </c>
      <c r="H523" s="3" t="str">
        <f>"检测机架"&amp;INDEX([1]机架!$D:$D,C523+3)&amp;IF(D523&lt;&gt;"","和"&amp;INDEX([1]机架!$D:$D,D523+3),"")&amp;"的数据"</f>
        <v>检测机架文登文山路の机架-7和文登文山路の机架-8的数据</v>
      </c>
      <c r="I523" s="3">
        <f>INDEX([1]机架!$C:$C,C523+3)</f>
        <v>3710008131</v>
      </c>
      <c r="J523" s="3">
        <f>IF(D523&lt;&gt;"",INDEX([1]机架!$C:$C,D523+3),0)</f>
        <v>3710008132</v>
      </c>
    </row>
    <row r="524" spans="1:10" ht="16.5" x14ac:dyDescent="0.2">
      <c r="A524" s="3" t="s">
        <v>393</v>
      </c>
      <c r="B524" s="3">
        <v>521</v>
      </c>
      <c r="C524" s="3">
        <f t="shared" si="33"/>
        <v>1041</v>
      </c>
      <c r="D524" s="3">
        <f t="shared" si="34"/>
        <v>1042</v>
      </c>
      <c r="E524" s="3" t="str">
        <f t="shared" si="32"/>
        <v>dump:3318000173&amp;1119000173</v>
      </c>
      <c r="F524" s="3" t="str">
        <f t="shared" si="35"/>
        <v>哑资源设备_521</v>
      </c>
      <c r="G524" s="10" t="s">
        <v>406</v>
      </c>
      <c r="H524" s="3" t="str">
        <f>"检测机架"&amp;INDEX([1]机架!$D:$D,C524+3)&amp;IF(D524&lt;&gt;"","和"&amp;INDEX([1]机架!$D:$D,D524+3),"")&amp;"的数据"</f>
        <v>检测机架文登文山路の机架-9和文泽头の机架-1的数据</v>
      </c>
      <c r="I524" s="3">
        <f>INDEX([1]机架!$C:$C,C524+3)</f>
        <v>3710008133</v>
      </c>
      <c r="J524" s="3">
        <f>IF(D524&lt;&gt;"",INDEX([1]机架!$C:$C,D524+3),0)</f>
        <v>3710009111</v>
      </c>
    </row>
    <row r="525" spans="1:10" ht="16.5" x14ac:dyDescent="0.2">
      <c r="A525" s="3" t="s">
        <v>393</v>
      </c>
      <c r="B525" s="3">
        <v>522</v>
      </c>
      <c r="C525" s="3">
        <f t="shared" si="33"/>
        <v>1043</v>
      </c>
      <c r="D525" s="3">
        <f t="shared" si="34"/>
        <v>1044</v>
      </c>
      <c r="E525" s="3" t="str">
        <f t="shared" si="32"/>
        <v>dump:2119000173&amp;3119000173</v>
      </c>
      <c r="F525" s="3" t="str">
        <f t="shared" si="35"/>
        <v>哑资源设备_522</v>
      </c>
      <c r="G525" s="10" t="s">
        <v>406</v>
      </c>
      <c r="H525" s="3" t="str">
        <f>"检测机架"&amp;INDEX([1]机架!$D:$D,C525+3)&amp;IF(D525&lt;&gt;"","和"&amp;INDEX([1]机架!$D:$D,D525+3),"")&amp;"的数据"</f>
        <v>检测机架文泽头の机架-2和文泽头の机架-3的数据</v>
      </c>
      <c r="I525" s="3">
        <f>INDEX([1]机架!$C:$C,C525+3)</f>
        <v>3710009112</v>
      </c>
      <c r="J525" s="3">
        <f>IF(D525&lt;&gt;"",INDEX([1]机架!$C:$C,D525+3),0)</f>
        <v>3710009113</v>
      </c>
    </row>
    <row r="526" spans="1:10" ht="16.5" x14ac:dyDescent="0.2">
      <c r="A526" s="3" t="s">
        <v>393</v>
      </c>
      <c r="B526" s="3">
        <v>523</v>
      </c>
      <c r="C526" s="3">
        <f t="shared" si="33"/>
        <v>1045</v>
      </c>
      <c r="D526" s="3">
        <f t="shared" si="34"/>
        <v>1046</v>
      </c>
      <c r="E526" s="3" t="str">
        <f t="shared" si="32"/>
        <v>dump:1219000173&amp;2219000173</v>
      </c>
      <c r="F526" s="3" t="str">
        <f t="shared" si="35"/>
        <v>哑资源设备_523</v>
      </c>
      <c r="G526" s="10" t="s">
        <v>406</v>
      </c>
      <c r="H526" s="3" t="str">
        <f>"检测机架"&amp;INDEX([1]机架!$D:$D,C526+3)&amp;IF(D526&lt;&gt;"","和"&amp;INDEX([1]机架!$D:$D,D526+3),"")&amp;"的数据"</f>
        <v>检测机架文泽头の机架-4和文泽头の机架-5的数据</v>
      </c>
      <c r="I526" s="3">
        <f>INDEX([1]机架!$C:$C,C526+3)</f>
        <v>3710009121</v>
      </c>
      <c r="J526" s="3">
        <f>IF(D526&lt;&gt;"",INDEX([1]机架!$C:$C,D526+3),0)</f>
        <v>3710009122</v>
      </c>
    </row>
    <row r="527" spans="1:10" ht="16.5" x14ac:dyDescent="0.2">
      <c r="A527" s="3" t="s">
        <v>393</v>
      </c>
      <c r="B527" s="3">
        <v>524</v>
      </c>
      <c r="C527" s="3">
        <f t="shared" si="33"/>
        <v>1047</v>
      </c>
      <c r="D527" s="3">
        <f t="shared" si="34"/>
        <v>1048</v>
      </c>
      <c r="E527" s="3" t="str">
        <f t="shared" si="32"/>
        <v>dump:3219000173&amp;1319000173</v>
      </c>
      <c r="F527" s="3" t="str">
        <f t="shared" si="35"/>
        <v>哑资源设备_524</v>
      </c>
      <c r="G527" s="10" t="s">
        <v>406</v>
      </c>
      <c r="H527" s="3" t="str">
        <f>"检测机架"&amp;INDEX([1]机架!$D:$D,C527+3)&amp;IF(D527&lt;&gt;"","和"&amp;INDEX([1]机架!$D:$D,D527+3),"")&amp;"的数据"</f>
        <v>检测机架文泽头の机架-6和文泽头の机架-7的数据</v>
      </c>
      <c r="I527" s="3">
        <f>INDEX([1]机架!$C:$C,C527+3)</f>
        <v>3710009123</v>
      </c>
      <c r="J527" s="3">
        <f>IF(D527&lt;&gt;"",INDEX([1]机架!$C:$C,D527+3),0)</f>
        <v>3710009131</v>
      </c>
    </row>
    <row r="528" spans="1:10" ht="16.5" x14ac:dyDescent="0.2">
      <c r="A528" s="3" t="s">
        <v>393</v>
      </c>
      <c r="B528" s="3">
        <v>525</v>
      </c>
      <c r="C528" s="3">
        <f t="shared" si="33"/>
        <v>1049</v>
      </c>
      <c r="D528" s="3">
        <f t="shared" si="34"/>
        <v>1050</v>
      </c>
      <c r="E528" s="3" t="str">
        <f t="shared" si="32"/>
        <v>dump:2319000173&amp;3319000173</v>
      </c>
      <c r="F528" s="3" t="str">
        <f t="shared" si="35"/>
        <v>哑资源设备_525</v>
      </c>
      <c r="G528" s="10" t="s">
        <v>406</v>
      </c>
      <c r="H528" s="3" t="str">
        <f>"检测机架"&amp;INDEX([1]机架!$D:$D,C528+3)&amp;IF(D528&lt;&gt;"","和"&amp;INDEX([1]机架!$D:$D,D528+3),"")&amp;"的数据"</f>
        <v>检测机架文泽头の机架-8和文泽头の机架-9的数据</v>
      </c>
      <c r="I528" s="3">
        <f>INDEX([1]机架!$C:$C,C528+3)</f>
        <v>3710009132</v>
      </c>
      <c r="J528" s="3">
        <f>IF(D528&lt;&gt;"",INDEX([1]机架!$C:$C,D528+3),0)</f>
        <v>3710009133</v>
      </c>
    </row>
    <row r="529" spans="1:10" ht="16.5" x14ac:dyDescent="0.2">
      <c r="A529" s="3" t="s">
        <v>393</v>
      </c>
      <c r="B529" s="3">
        <v>526</v>
      </c>
      <c r="C529" s="3">
        <f t="shared" si="33"/>
        <v>1051</v>
      </c>
      <c r="D529" s="3">
        <f t="shared" si="34"/>
        <v>1052</v>
      </c>
      <c r="E529" s="3" t="str">
        <f t="shared" si="32"/>
        <v>dump:1111001173&amp;2111001173</v>
      </c>
      <c r="F529" s="3" t="str">
        <f t="shared" si="35"/>
        <v>哑资源设备_526</v>
      </c>
      <c r="G529" s="10" t="s">
        <v>406</v>
      </c>
      <c r="H529" s="3" t="str">
        <f>"检测机架"&amp;INDEX([1]机架!$D:$D,C529+3)&amp;IF(D529&lt;&gt;"","和"&amp;INDEX([1]机架!$D:$D,D529+3),"")&amp;"的数据"</f>
        <v>检测机架日照正阳路の机架-1和日照正阳路の机架-2的数据</v>
      </c>
      <c r="I529" s="3">
        <f>INDEX([1]机架!$C:$C,C529+3)</f>
        <v>3711001111</v>
      </c>
      <c r="J529" s="3">
        <f>IF(D529&lt;&gt;"",INDEX([1]机架!$C:$C,D529+3),0)</f>
        <v>3711001112</v>
      </c>
    </row>
    <row r="530" spans="1:10" ht="16.5" x14ac:dyDescent="0.2">
      <c r="A530" s="3" t="s">
        <v>393</v>
      </c>
      <c r="B530" s="3">
        <v>527</v>
      </c>
      <c r="C530" s="3">
        <f t="shared" si="33"/>
        <v>1053</v>
      </c>
      <c r="D530" s="3">
        <f t="shared" si="34"/>
        <v>1054</v>
      </c>
      <c r="E530" s="3" t="str">
        <f t="shared" si="32"/>
        <v>dump:3111001173&amp;1211001173</v>
      </c>
      <c r="F530" s="3" t="str">
        <f t="shared" si="35"/>
        <v>哑资源设备_527</v>
      </c>
      <c r="G530" s="10" t="s">
        <v>406</v>
      </c>
      <c r="H530" s="3" t="str">
        <f>"检测机架"&amp;INDEX([1]机架!$D:$D,C530+3)&amp;IF(D530&lt;&gt;"","和"&amp;INDEX([1]机架!$D:$D,D530+3),"")&amp;"的数据"</f>
        <v>检测机架日照正阳路の机架-3和日照正阳路の机架-4的数据</v>
      </c>
      <c r="I530" s="3">
        <f>INDEX([1]机架!$C:$C,C530+3)</f>
        <v>3711001113</v>
      </c>
      <c r="J530" s="3">
        <f>IF(D530&lt;&gt;"",INDEX([1]机架!$C:$C,D530+3),0)</f>
        <v>3711001121</v>
      </c>
    </row>
    <row r="531" spans="1:10" ht="16.5" x14ac:dyDescent="0.2">
      <c r="A531" s="3" t="s">
        <v>393</v>
      </c>
      <c r="B531" s="3">
        <v>528</v>
      </c>
      <c r="C531" s="3">
        <f t="shared" si="33"/>
        <v>1055</v>
      </c>
      <c r="D531" s="3">
        <f t="shared" si="34"/>
        <v>1056</v>
      </c>
      <c r="E531" s="3" t="str">
        <f t="shared" si="32"/>
        <v>dump:2211001173&amp;3211001173</v>
      </c>
      <c r="F531" s="3" t="str">
        <f t="shared" si="35"/>
        <v>哑资源设备_528</v>
      </c>
      <c r="G531" s="10" t="s">
        <v>406</v>
      </c>
      <c r="H531" s="3" t="str">
        <f>"检测机架"&amp;INDEX([1]机架!$D:$D,C531+3)&amp;IF(D531&lt;&gt;"","和"&amp;INDEX([1]机架!$D:$D,D531+3),"")&amp;"的数据"</f>
        <v>检测机架日照正阳路の机架-5和日照正阳路の机架-6的数据</v>
      </c>
      <c r="I531" s="3">
        <f>INDEX([1]机架!$C:$C,C531+3)</f>
        <v>3711001122</v>
      </c>
      <c r="J531" s="3">
        <f>IF(D531&lt;&gt;"",INDEX([1]机架!$C:$C,D531+3),0)</f>
        <v>3711001123</v>
      </c>
    </row>
    <row r="532" spans="1:10" ht="16.5" x14ac:dyDescent="0.2">
      <c r="A532" s="3" t="s">
        <v>393</v>
      </c>
      <c r="B532" s="3">
        <v>529</v>
      </c>
      <c r="C532" s="3">
        <f t="shared" si="33"/>
        <v>1057</v>
      </c>
      <c r="D532" s="3">
        <f t="shared" si="34"/>
        <v>1058</v>
      </c>
      <c r="E532" s="3" t="str">
        <f t="shared" si="32"/>
        <v>dump:1311001173&amp;2311001173</v>
      </c>
      <c r="F532" s="3" t="str">
        <f t="shared" si="35"/>
        <v>哑资源设备_529</v>
      </c>
      <c r="G532" s="10" t="s">
        <v>406</v>
      </c>
      <c r="H532" s="3" t="str">
        <f>"检测机架"&amp;INDEX([1]机架!$D:$D,C532+3)&amp;IF(D532&lt;&gt;"","和"&amp;INDEX([1]机架!$D:$D,D532+3),"")&amp;"的数据"</f>
        <v>检测机架日照正阳路の机架-7和日照正阳路の机架-8的数据</v>
      </c>
      <c r="I532" s="3">
        <f>INDEX([1]机架!$C:$C,C532+3)</f>
        <v>3711001131</v>
      </c>
      <c r="J532" s="3">
        <f>IF(D532&lt;&gt;"",INDEX([1]机架!$C:$C,D532+3),0)</f>
        <v>3711001132</v>
      </c>
    </row>
    <row r="533" spans="1:10" ht="16.5" x14ac:dyDescent="0.2">
      <c r="A533" s="3" t="s">
        <v>393</v>
      </c>
      <c r="B533" s="3">
        <v>530</v>
      </c>
      <c r="C533" s="3">
        <f t="shared" si="33"/>
        <v>1059</v>
      </c>
      <c r="D533" s="3">
        <f t="shared" si="34"/>
        <v>1060</v>
      </c>
      <c r="E533" s="3" t="str">
        <f t="shared" si="32"/>
        <v>dump:3311001173&amp;1121001173</v>
      </c>
      <c r="F533" s="3" t="str">
        <f t="shared" si="35"/>
        <v>哑资源设备_530</v>
      </c>
      <c r="G533" s="10" t="s">
        <v>406</v>
      </c>
      <c r="H533" s="3" t="str">
        <f>"检测机架"&amp;INDEX([1]机架!$D:$D,C533+3)&amp;IF(D533&lt;&gt;"","和"&amp;INDEX([1]机架!$D:$D,D533+3),"")&amp;"的数据"</f>
        <v>检测机架日照正阳路の机架-9和日照正阳路の机架-10的数据</v>
      </c>
      <c r="I533" s="3">
        <f>INDEX([1]机架!$C:$C,C533+3)</f>
        <v>3711001133</v>
      </c>
      <c r="J533" s="3">
        <f>IF(D533&lt;&gt;"",INDEX([1]机架!$C:$C,D533+3),0)</f>
        <v>3711001211</v>
      </c>
    </row>
    <row r="534" spans="1:10" ht="16.5" x14ac:dyDescent="0.2">
      <c r="A534" s="3" t="s">
        <v>393</v>
      </c>
      <c r="B534" s="3">
        <v>531</v>
      </c>
      <c r="C534" s="3">
        <f t="shared" si="33"/>
        <v>1061</v>
      </c>
      <c r="D534" s="3">
        <f t="shared" si="34"/>
        <v>1062</v>
      </c>
      <c r="E534" s="3" t="str">
        <f t="shared" si="32"/>
        <v>dump:2121001173&amp;3121001173</v>
      </c>
      <c r="F534" s="3" t="str">
        <f t="shared" si="35"/>
        <v>哑资源设备_531</v>
      </c>
      <c r="G534" s="10" t="s">
        <v>406</v>
      </c>
      <c r="H534" s="3" t="str">
        <f>"检测机架"&amp;INDEX([1]机架!$D:$D,C534+3)&amp;IF(D534&lt;&gt;"","和"&amp;INDEX([1]机架!$D:$D,D534+3),"")&amp;"的数据"</f>
        <v>检测机架日照正阳路の机架-11和日照正阳路の机架-12的数据</v>
      </c>
      <c r="I534" s="3">
        <f>INDEX([1]机架!$C:$C,C534+3)</f>
        <v>3711001212</v>
      </c>
      <c r="J534" s="3">
        <f>IF(D534&lt;&gt;"",INDEX([1]机架!$C:$C,D534+3),0)</f>
        <v>3711001213</v>
      </c>
    </row>
    <row r="535" spans="1:10" ht="16.5" x14ac:dyDescent="0.2">
      <c r="A535" s="3" t="s">
        <v>393</v>
      </c>
      <c r="B535" s="3">
        <v>532</v>
      </c>
      <c r="C535" s="3">
        <f t="shared" si="33"/>
        <v>1063</v>
      </c>
      <c r="D535" s="3">
        <f t="shared" si="34"/>
        <v>1064</v>
      </c>
      <c r="E535" s="3" t="str">
        <f t="shared" si="32"/>
        <v>dump:1221001173&amp;2221001173</v>
      </c>
      <c r="F535" s="3" t="str">
        <f t="shared" si="35"/>
        <v>哑资源设备_532</v>
      </c>
      <c r="G535" s="10" t="s">
        <v>406</v>
      </c>
      <c r="H535" s="3" t="str">
        <f>"检测机架"&amp;INDEX([1]机架!$D:$D,C535+3)&amp;IF(D535&lt;&gt;"","和"&amp;INDEX([1]机架!$D:$D,D535+3),"")&amp;"的数据"</f>
        <v>检测机架日照正阳路の机架-13和日照正阳路の机架-14的数据</v>
      </c>
      <c r="I535" s="3">
        <f>INDEX([1]机架!$C:$C,C535+3)</f>
        <v>3711001221</v>
      </c>
      <c r="J535" s="3">
        <f>IF(D535&lt;&gt;"",INDEX([1]机架!$C:$C,D535+3),0)</f>
        <v>3711001222</v>
      </c>
    </row>
    <row r="536" spans="1:10" ht="16.5" x14ac:dyDescent="0.2">
      <c r="A536" s="3" t="s">
        <v>393</v>
      </c>
      <c r="B536" s="3">
        <v>533</v>
      </c>
      <c r="C536" s="3">
        <f t="shared" si="33"/>
        <v>1065</v>
      </c>
      <c r="D536" s="3">
        <f t="shared" si="34"/>
        <v>1066</v>
      </c>
      <c r="E536" s="3" t="str">
        <f t="shared" si="32"/>
        <v>dump:3221001173&amp;1321001173</v>
      </c>
      <c r="F536" s="3" t="str">
        <f t="shared" si="35"/>
        <v>哑资源设备_533</v>
      </c>
      <c r="G536" s="10" t="s">
        <v>406</v>
      </c>
      <c r="H536" s="3" t="str">
        <f>"检测机架"&amp;INDEX([1]机架!$D:$D,C536+3)&amp;IF(D536&lt;&gt;"","和"&amp;INDEX([1]机架!$D:$D,D536+3),"")&amp;"的数据"</f>
        <v>检测机架日照正阳路の机架-15和日照正阳路の机架-16的数据</v>
      </c>
      <c r="I536" s="3">
        <f>INDEX([1]机架!$C:$C,C536+3)</f>
        <v>3711001223</v>
      </c>
      <c r="J536" s="3">
        <f>IF(D536&lt;&gt;"",INDEX([1]机架!$C:$C,D536+3),0)</f>
        <v>3711001231</v>
      </c>
    </row>
    <row r="537" spans="1:10" ht="16.5" x14ac:dyDescent="0.2">
      <c r="A537" s="3" t="s">
        <v>393</v>
      </c>
      <c r="B537" s="3">
        <v>534</v>
      </c>
      <c r="C537" s="3">
        <f t="shared" si="33"/>
        <v>1067</v>
      </c>
      <c r="D537" s="3">
        <f t="shared" si="34"/>
        <v>1068</v>
      </c>
      <c r="E537" s="3" t="str">
        <f t="shared" si="32"/>
        <v>dump:2321001173&amp;3321001173</v>
      </c>
      <c r="F537" s="3" t="str">
        <f t="shared" si="35"/>
        <v>哑资源设备_534</v>
      </c>
      <c r="G537" s="10" t="s">
        <v>406</v>
      </c>
      <c r="H537" s="3" t="str">
        <f>"检测机架"&amp;INDEX([1]机架!$D:$D,C537+3)&amp;IF(D537&lt;&gt;"","和"&amp;INDEX([1]机架!$D:$D,D537+3),"")&amp;"的数据"</f>
        <v>检测机架日照正阳路の机架-17和日照正阳路の机架-18的数据</v>
      </c>
      <c r="I537" s="3">
        <f>INDEX([1]机架!$C:$C,C537+3)</f>
        <v>3711001232</v>
      </c>
      <c r="J537" s="3">
        <f>IF(D537&lt;&gt;"",INDEX([1]机架!$C:$C,D537+3),0)</f>
        <v>3711001233</v>
      </c>
    </row>
    <row r="538" spans="1:10" ht="16.5" x14ac:dyDescent="0.2">
      <c r="A538" s="3" t="s">
        <v>393</v>
      </c>
      <c r="B538" s="3">
        <v>535</v>
      </c>
      <c r="C538" s="3">
        <f t="shared" si="33"/>
        <v>1069</v>
      </c>
      <c r="D538" s="3">
        <f t="shared" si="34"/>
        <v>1070</v>
      </c>
      <c r="E538" s="3" t="str">
        <f t="shared" si="32"/>
        <v>dump:1131001173&amp;2131001173</v>
      </c>
      <c r="F538" s="3" t="str">
        <f t="shared" si="35"/>
        <v>哑资源设备_535</v>
      </c>
      <c r="G538" s="10" t="s">
        <v>406</v>
      </c>
      <c r="H538" s="3" t="str">
        <f>"检测机架"&amp;INDEX([1]机架!$D:$D,C538+3)&amp;IF(D538&lt;&gt;"","和"&amp;INDEX([1]机架!$D:$D,D538+3),"")&amp;"的数据"</f>
        <v>检测机架日照正阳路の机架-19和日照正阳路の机架-20的数据</v>
      </c>
      <c r="I538" s="3">
        <f>INDEX([1]机架!$C:$C,C538+3)</f>
        <v>3711001311</v>
      </c>
      <c r="J538" s="3">
        <f>IF(D538&lt;&gt;"",INDEX([1]机架!$C:$C,D538+3),0)</f>
        <v>3711001312</v>
      </c>
    </row>
    <row r="539" spans="1:10" ht="16.5" x14ac:dyDescent="0.2">
      <c r="A539" s="3" t="s">
        <v>393</v>
      </c>
      <c r="B539" s="3">
        <v>536</v>
      </c>
      <c r="C539" s="3">
        <f t="shared" si="33"/>
        <v>1071</v>
      </c>
      <c r="D539" s="3">
        <f t="shared" si="34"/>
        <v>1072</v>
      </c>
      <c r="E539" s="3" t="str">
        <f t="shared" si="32"/>
        <v>dump:3131001173&amp;1231001173</v>
      </c>
      <c r="F539" s="3" t="str">
        <f t="shared" si="35"/>
        <v>哑资源设备_536</v>
      </c>
      <c r="G539" s="10" t="s">
        <v>406</v>
      </c>
      <c r="H539" s="3" t="str">
        <f>"检测机架"&amp;INDEX([1]机架!$D:$D,C539+3)&amp;IF(D539&lt;&gt;"","和"&amp;INDEX([1]机架!$D:$D,D539+3),"")&amp;"的数据"</f>
        <v>检测机架日照正阳路の机架-21和日照正阳路の机架-22的数据</v>
      </c>
      <c r="I539" s="3">
        <f>INDEX([1]机架!$C:$C,C539+3)</f>
        <v>3711001313</v>
      </c>
      <c r="J539" s="3">
        <f>IF(D539&lt;&gt;"",INDEX([1]机架!$C:$C,D539+3),0)</f>
        <v>3711001321</v>
      </c>
    </row>
    <row r="540" spans="1:10" ht="16.5" x14ac:dyDescent="0.2">
      <c r="A540" s="3" t="s">
        <v>393</v>
      </c>
      <c r="B540" s="3">
        <v>537</v>
      </c>
      <c r="C540" s="3">
        <f t="shared" si="33"/>
        <v>1073</v>
      </c>
      <c r="D540" s="3">
        <f t="shared" si="34"/>
        <v>1074</v>
      </c>
      <c r="E540" s="3" t="str">
        <f t="shared" si="32"/>
        <v>dump:2231001173&amp;3231001173</v>
      </c>
      <c r="F540" s="3" t="str">
        <f t="shared" si="35"/>
        <v>哑资源设备_537</v>
      </c>
      <c r="G540" s="10" t="s">
        <v>406</v>
      </c>
      <c r="H540" s="3" t="str">
        <f>"检测机架"&amp;INDEX([1]机架!$D:$D,C540+3)&amp;IF(D540&lt;&gt;"","和"&amp;INDEX([1]机架!$D:$D,D540+3),"")&amp;"的数据"</f>
        <v>检测机架日照正阳路の机架-23和日照正阳路の机架-24的数据</v>
      </c>
      <c r="I540" s="3">
        <f>INDEX([1]机架!$C:$C,C540+3)</f>
        <v>3711001322</v>
      </c>
      <c r="J540" s="3">
        <f>IF(D540&lt;&gt;"",INDEX([1]机架!$C:$C,D540+3),0)</f>
        <v>3711001323</v>
      </c>
    </row>
    <row r="541" spans="1:10" ht="16.5" x14ac:dyDescent="0.2">
      <c r="A541" s="3" t="s">
        <v>393</v>
      </c>
      <c r="B541" s="3">
        <v>538</v>
      </c>
      <c r="C541" s="3">
        <f t="shared" si="33"/>
        <v>1075</v>
      </c>
      <c r="D541" s="3">
        <f t="shared" si="34"/>
        <v>1076</v>
      </c>
      <c r="E541" s="3" t="str">
        <f t="shared" si="32"/>
        <v>dump:1112001173&amp;2112001173</v>
      </c>
      <c r="F541" s="3" t="str">
        <f t="shared" si="35"/>
        <v>哑资源设备_538</v>
      </c>
      <c r="G541" s="10" t="s">
        <v>406</v>
      </c>
      <c r="H541" s="3" t="str">
        <f>"检测机架"&amp;INDEX([1]机架!$D:$D,C541+3)&amp;IF(D541&lt;&gt;"","和"&amp;INDEX([1]机架!$D:$D,D541+3),"")&amp;"的数据"</f>
        <v>检测机架日照海滨五路の机架-1和日照海滨五路の机架-2的数据</v>
      </c>
      <c r="I541" s="3">
        <f>INDEX([1]机架!$C:$C,C541+3)</f>
        <v>3711002111</v>
      </c>
      <c r="J541" s="3">
        <f>IF(D541&lt;&gt;"",INDEX([1]机架!$C:$C,D541+3),0)</f>
        <v>3711002112</v>
      </c>
    </row>
    <row r="542" spans="1:10" ht="16.5" x14ac:dyDescent="0.2">
      <c r="A542" s="3" t="s">
        <v>393</v>
      </c>
      <c r="B542" s="3">
        <v>539</v>
      </c>
      <c r="C542" s="3">
        <f t="shared" si="33"/>
        <v>1077</v>
      </c>
      <c r="D542" s="3">
        <f t="shared" si="34"/>
        <v>1078</v>
      </c>
      <c r="E542" s="3" t="str">
        <f t="shared" si="32"/>
        <v>dump:3112001173&amp;1212001173</v>
      </c>
      <c r="F542" s="3" t="str">
        <f t="shared" si="35"/>
        <v>哑资源设备_539</v>
      </c>
      <c r="G542" s="10" t="s">
        <v>406</v>
      </c>
      <c r="H542" s="3" t="str">
        <f>"检测机架"&amp;INDEX([1]机架!$D:$D,C542+3)&amp;IF(D542&lt;&gt;"","和"&amp;INDEX([1]机架!$D:$D,D542+3),"")&amp;"的数据"</f>
        <v>检测机架日照海滨五路の机架-3和日照海滨五路の机架-4的数据</v>
      </c>
      <c r="I542" s="3">
        <f>INDEX([1]机架!$C:$C,C542+3)</f>
        <v>3711002113</v>
      </c>
      <c r="J542" s="3">
        <f>IF(D542&lt;&gt;"",INDEX([1]机架!$C:$C,D542+3),0)</f>
        <v>3711002121</v>
      </c>
    </row>
    <row r="543" spans="1:10" ht="16.5" x14ac:dyDescent="0.2">
      <c r="A543" s="3" t="s">
        <v>393</v>
      </c>
      <c r="B543" s="3">
        <v>540</v>
      </c>
      <c r="C543" s="3">
        <f t="shared" si="33"/>
        <v>1079</v>
      </c>
      <c r="D543" s="3">
        <f t="shared" si="34"/>
        <v>1080</v>
      </c>
      <c r="E543" s="3" t="str">
        <f t="shared" si="32"/>
        <v>dump:2212001173&amp;3212001173</v>
      </c>
      <c r="F543" s="3" t="str">
        <f t="shared" si="35"/>
        <v>哑资源设备_540</v>
      </c>
      <c r="G543" s="10" t="s">
        <v>406</v>
      </c>
      <c r="H543" s="3" t="str">
        <f>"检测机架"&amp;INDEX([1]机架!$D:$D,C543+3)&amp;IF(D543&lt;&gt;"","和"&amp;INDEX([1]机架!$D:$D,D543+3),"")&amp;"的数据"</f>
        <v>检测机架日照海滨五路の机架-5和日照海滨五路の机架-6的数据</v>
      </c>
      <c r="I543" s="3">
        <f>INDEX([1]机架!$C:$C,C543+3)</f>
        <v>3711002122</v>
      </c>
      <c r="J543" s="3">
        <f>IF(D543&lt;&gt;"",INDEX([1]机架!$C:$C,D543+3),0)</f>
        <v>3711002123</v>
      </c>
    </row>
    <row r="544" spans="1:10" ht="16.5" x14ac:dyDescent="0.2">
      <c r="A544" s="3" t="s">
        <v>393</v>
      </c>
      <c r="B544" s="3">
        <v>541</v>
      </c>
      <c r="C544" s="3">
        <f t="shared" si="33"/>
        <v>1081</v>
      </c>
      <c r="D544" s="3">
        <f t="shared" si="34"/>
        <v>1082</v>
      </c>
      <c r="E544" s="3" t="str">
        <f t="shared" si="32"/>
        <v>dump:1312001173&amp;2312001173</v>
      </c>
      <c r="F544" s="3" t="str">
        <f t="shared" si="35"/>
        <v>哑资源设备_541</v>
      </c>
      <c r="G544" s="10" t="s">
        <v>406</v>
      </c>
      <c r="H544" s="3" t="str">
        <f>"检测机架"&amp;INDEX([1]机架!$D:$D,C544+3)&amp;IF(D544&lt;&gt;"","和"&amp;INDEX([1]机架!$D:$D,D544+3),"")&amp;"的数据"</f>
        <v>检测机架日照海滨五路の机架-7和日照海滨五路の机架-8的数据</v>
      </c>
      <c r="I544" s="3">
        <f>INDEX([1]机架!$C:$C,C544+3)</f>
        <v>3711002131</v>
      </c>
      <c r="J544" s="3">
        <f>IF(D544&lt;&gt;"",INDEX([1]机架!$C:$C,D544+3),0)</f>
        <v>3711002132</v>
      </c>
    </row>
    <row r="545" spans="1:10" ht="16.5" x14ac:dyDescent="0.2">
      <c r="A545" s="3" t="s">
        <v>393</v>
      </c>
      <c r="B545" s="3">
        <v>542</v>
      </c>
      <c r="C545" s="3">
        <f t="shared" si="33"/>
        <v>1083</v>
      </c>
      <c r="D545" s="3">
        <f t="shared" si="34"/>
        <v>1084</v>
      </c>
      <c r="E545" s="3" t="str">
        <f t="shared" si="32"/>
        <v>dump:3312001173&amp;1113001173</v>
      </c>
      <c r="F545" s="3" t="str">
        <f t="shared" si="35"/>
        <v>哑资源设备_542</v>
      </c>
      <c r="G545" s="10" t="s">
        <v>406</v>
      </c>
      <c r="H545" s="3" t="str">
        <f>"检测机架"&amp;INDEX([1]机架!$D:$D,C545+3)&amp;IF(D545&lt;&gt;"","和"&amp;INDEX([1]机架!$D:$D,D545+3),"")&amp;"的数据"</f>
        <v>检测机架日照海滨五路の机架-9和莒县振兴路の机架-1的数据</v>
      </c>
      <c r="I545" s="3">
        <f>INDEX([1]机架!$C:$C,C545+3)</f>
        <v>3711002133</v>
      </c>
      <c r="J545" s="3">
        <f>IF(D545&lt;&gt;"",INDEX([1]机架!$C:$C,D545+3),0)</f>
        <v>3711003111</v>
      </c>
    </row>
    <row r="546" spans="1:10" ht="16.5" x14ac:dyDescent="0.2">
      <c r="A546" s="3" t="s">
        <v>393</v>
      </c>
      <c r="B546" s="3">
        <v>543</v>
      </c>
      <c r="C546" s="3">
        <f t="shared" si="33"/>
        <v>1085</v>
      </c>
      <c r="D546" s="3">
        <f t="shared" si="34"/>
        <v>1086</v>
      </c>
      <c r="E546" s="3" t="str">
        <f t="shared" si="32"/>
        <v>dump:2113001173&amp;3113001173</v>
      </c>
      <c r="F546" s="3" t="str">
        <f t="shared" si="35"/>
        <v>哑资源设备_543</v>
      </c>
      <c r="G546" s="10" t="s">
        <v>406</v>
      </c>
      <c r="H546" s="3" t="str">
        <f>"检测机架"&amp;INDEX([1]机架!$D:$D,C546+3)&amp;IF(D546&lt;&gt;"","和"&amp;INDEX([1]机架!$D:$D,D546+3),"")&amp;"的数据"</f>
        <v>检测机架莒县振兴路の机架-2和莒县振兴路の机架-3的数据</v>
      </c>
      <c r="I546" s="3">
        <f>INDEX([1]机架!$C:$C,C546+3)</f>
        <v>3711003112</v>
      </c>
      <c r="J546" s="3">
        <f>IF(D546&lt;&gt;"",INDEX([1]机架!$C:$C,D546+3),0)</f>
        <v>3711003113</v>
      </c>
    </row>
    <row r="547" spans="1:10" ht="16.5" x14ac:dyDescent="0.2">
      <c r="A547" s="3" t="s">
        <v>393</v>
      </c>
      <c r="B547" s="3">
        <v>544</v>
      </c>
      <c r="C547" s="3">
        <f t="shared" si="33"/>
        <v>1087</v>
      </c>
      <c r="D547" s="3">
        <f t="shared" si="34"/>
        <v>1088</v>
      </c>
      <c r="E547" s="3" t="str">
        <f t="shared" si="32"/>
        <v>dump:1213001173&amp;2213001173</v>
      </c>
      <c r="F547" s="3" t="str">
        <f t="shared" si="35"/>
        <v>哑资源设备_544</v>
      </c>
      <c r="G547" s="10" t="s">
        <v>406</v>
      </c>
      <c r="H547" s="3" t="str">
        <f>"检测机架"&amp;INDEX([1]机架!$D:$D,C547+3)&amp;IF(D547&lt;&gt;"","和"&amp;INDEX([1]机架!$D:$D,D547+3),"")&amp;"的数据"</f>
        <v>检测机架莒县振兴路の机架-4和莒县振兴路の机架-5的数据</v>
      </c>
      <c r="I547" s="3">
        <f>INDEX([1]机架!$C:$C,C547+3)</f>
        <v>3711003121</v>
      </c>
      <c r="J547" s="3">
        <f>IF(D547&lt;&gt;"",INDEX([1]机架!$C:$C,D547+3),0)</f>
        <v>3711003122</v>
      </c>
    </row>
    <row r="548" spans="1:10" ht="16.5" x14ac:dyDescent="0.2">
      <c r="A548" s="3" t="s">
        <v>393</v>
      </c>
      <c r="B548" s="3">
        <v>545</v>
      </c>
      <c r="C548" s="3">
        <f t="shared" si="33"/>
        <v>1089</v>
      </c>
      <c r="D548" s="3">
        <f t="shared" si="34"/>
        <v>1090</v>
      </c>
      <c r="E548" s="3" t="str">
        <f t="shared" si="32"/>
        <v>dump:3213001173&amp;1313001173</v>
      </c>
      <c r="F548" s="3" t="str">
        <f t="shared" si="35"/>
        <v>哑资源设备_545</v>
      </c>
      <c r="G548" s="10" t="s">
        <v>406</v>
      </c>
      <c r="H548" s="3" t="str">
        <f>"检测机架"&amp;INDEX([1]机架!$D:$D,C548+3)&amp;IF(D548&lt;&gt;"","和"&amp;INDEX([1]机架!$D:$D,D548+3),"")&amp;"的数据"</f>
        <v>检测机架莒县振兴路の机架-6和莒县振兴路の机架-7的数据</v>
      </c>
      <c r="I548" s="3">
        <f>INDEX([1]机架!$C:$C,C548+3)</f>
        <v>3711003123</v>
      </c>
      <c r="J548" s="3">
        <f>IF(D548&lt;&gt;"",INDEX([1]机架!$C:$C,D548+3),0)</f>
        <v>3711003131</v>
      </c>
    </row>
    <row r="549" spans="1:10" ht="16.5" x14ac:dyDescent="0.2">
      <c r="A549" s="3" t="s">
        <v>393</v>
      </c>
      <c r="B549" s="3">
        <v>546</v>
      </c>
      <c r="C549" s="3">
        <f t="shared" si="33"/>
        <v>1091</v>
      </c>
      <c r="D549" s="3">
        <f t="shared" si="34"/>
        <v>1092</v>
      </c>
      <c r="E549" s="3" t="str">
        <f t="shared" si="32"/>
        <v>dump:2313001173&amp;3313001173</v>
      </c>
      <c r="F549" s="3" t="str">
        <f t="shared" si="35"/>
        <v>哑资源设备_546</v>
      </c>
      <c r="G549" s="10" t="s">
        <v>406</v>
      </c>
      <c r="H549" s="3" t="str">
        <f>"检测机架"&amp;INDEX([1]机架!$D:$D,C549+3)&amp;IF(D549&lt;&gt;"","和"&amp;INDEX([1]机架!$D:$D,D549+3),"")&amp;"的数据"</f>
        <v>检测机架莒县振兴路の机架-8和莒县振兴路の机架-9的数据</v>
      </c>
      <c r="I549" s="3">
        <f>INDEX([1]机架!$C:$C,C549+3)</f>
        <v>3711003132</v>
      </c>
      <c r="J549" s="3">
        <f>IF(D549&lt;&gt;"",INDEX([1]机架!$C:$C,D549+3),0)</f>
        <v>3711003133</v>
      </c>
    </row>
    <row r="550" spans="1:10" ht="16.5" x14ac:dyDescent="0.2">
      <c r="A550" s="3" t="s">
        <v>393</v>
      </c>
      <c r="B550" s="3">
        <v>547</v>
      </c>
      <c r="C550" s="3">
        <f t="shared" si="33"/>
        <v>1093</v>
      </c>
      <c r="D550" s="3">
        <f t="shared" si="34"/>
        <v>1094</v>
      </c>
      <c r="E550" s="3" t="str">
        <f t="shared" si="32"/>
        <v>dump:1114001173&amp;2114001173</v>
      </c>
      <c r="F550" s="3" t="str">
        <f t="shared" si="35"/>
        <v>哑资源设备_547</v>
      </c>
      <c r="G550" s="10" t="s">
        <v>406</v>
      </c>
      <c r="H550" s="3" t="str">
        <f>"检测机架"&amp;INDEX([1]机架!$D:$D,C550+3)&amp;IF(D550&lt;&gt;"","和"&amp;INDEX([1]机架!$D:$D,D550+3),"")&amp;"的数据"</f>
        <v>检测机架五莲解放路の机架-1和五莲解放路の机架-2的数据</v>
      </c>
      <c r="I550" s="3">
        <f>INDEX([1]机架!$C:$C,C550+3)</f>
        <v>3711004111</v>
      </c>
      <c r="J550" s="3">
        <f>IF(D550&lt;&gt;"",INDEX([1]机架!$C:$C,D550+3),0)</f>
        <v>3711004112</v>
      </c>
    </row>
    <row r="551" spans="1:10" ht="16.5" x14ac:dyDescent="0.2">
      <c r="A551" s="3" t="s">
        <v>393</v>
      </c>
      <c r="B551" s="3">
        <v>548</v>
      </c>
      <c r="C551" s="3">
        <f t="shared" si="33"/>
        <v>1095</v>
      </c>
      <c r="D551" s="3">
        <f t="shared" si="34"/>
        <v>1096</v>
      </c>
      <c r="E551" s="3" t="str">
        <f t="shared" si="32"/>
        <v>dump:3114001173&amp;1214001173</v>
      </c>
      <c r="F551" s="3" t="str">
        <f t="shared" si="35"/>
        <v>哑资源设备_548</v>
      </c>
      <c r="G551" s="10" t="s">
        <v>406</v>
      </c>
      <c r="H551" s="3" t="str">
        <f>"检测机架"&amp;INDEX([1]机架!$D:$D,C551+3)&amp;IF(D551&lt;&gt;"","和"&amp;INDEX([1]机架!$D:$D,D551+3),"")&amp;"的数据"</f>
        <v>检测机架五莲解放路の机架-3和五莲解放路の机架-4的数据</v>
      </c>
      <c r="I551" s="3">
        <f>INDEX([1]机架!$C:$C,C551+3)</f>
        <v>3711004113</v>
      </c>
      <c r="J551" s="3">
        <f>IF(D551&lt;&gt;"",INDEX([1]机架!$C:$C,D551+3),0)</f>
        <v>3711004121</v>
      </c>
    </row>
    <row r="552" spans="1:10" ht="16.5" x14ac:dyDescent="0.2">
      <c r="A552" s="3" t="s">
        <v>393</v>
      </c>
      <c r="B552" s="3">
        <v>549</v>
      </c>
      <c r="C552" s="3">
        <f t="shared" si="33"/>
        <v>1097</v>
      </c>
      <c r="D552" s="3">
        <f t="shared" si="34"/>
        <v>1098</v>
      </c>
      <c r="E552" s="3" t="str">
        <f t="shared" si="32"/>
        <v>dump:2214001173&amp;3214001173</v>
      </c>
      <c r="F552" s="3" t="str">
        <f t="shared" si="35"/>
        <v>哑资源设备_549</v>
      </c>
      <c r="G552" s="10" t="s">
        <v>406</v>
      </c>
      <c r="H552" s="3" t="str">
        <f>"检测机架"&amp;INDEX([1]机架!$D:$D,C552+3)&amp;IF(D552&lt;&gt;"","和"&amp;INDEX([1]机架!$D:$D,D552+3),"")&amp;"的数据"</f>
        <v>检测机架五莲解放路の机架-5和五莲解放路の机架-6的数据</v>
      </c>
      <c r="I552" s="3">
        <f>INDEX([1]机架!$C:$C,C552+3)</f>
        <v>3711004122</v>
      </c>
      <c r="J552" s="3">
        <f>IF(D552&lt;&gt;"",INDEX([1]机架!$C:$C,D552+3),0)</f>
        <v>3711004123</v>
      </c>
    </row>
    <row r="553" spans="1:10" ht="16.5" x14ac:dyDescent="0.2">
      <c r="A553" s="3" t="s">
        <v>393</v>
      </c>
      <c r="B553" s="3">
        <v>550</v>
      </c>
      <c r="C553" s="3">
        <f t="shared" si="33"/>
        <v>1099</v>
      </c>
      <c r="D553" s="3">
        <f t="shared" si="34"/>
        <v>1100</v>
      </c>
      <c r="E553" s="3" t="str">
        <f t="shared" si="32"/>
        <v>dump:1314001173&amp;2314001173</v>
      </c>
      <c r="F553" s="3" t="str">
        <f t="shared" si="35"/>
        <v>哑资源设备_550</v>
      </c>
      <c r="G553" s="10" t="s">
        <v>406</v>
      </c>
      <c r="H553" s="3" t="str">
        <f>"检测机架"&amp;INDEX([1]机架!$D:$D,C553+3)&amp;IF(D553&lt;&gt;"","和"&amp;INDEX([1]机架!$D:$D,D553+3),"")&amp;"的数据"</f>
        <v>检测机架五莲解放路の机架-7和五莲解放路の机架-8的数据</v>
      </c>
      <c r="I553" s="3">
        <f>INDEX([1]机架!$C:$C,C553+3)</f>
        <v>3711004131</v>
      </c>
      <c r="J553" s="3">
        <f>IF(D553&lt;&gt;"",INDEX([1]机架!$C:$C,D553+3),0)</f>
        <v>3711004132</v>
      </c>
    </row>
    <row r="554" spans="1:10" ht="16.5" x14ac:dyDescent="0.2">
      <c r="A554" s="3" t="s">
        <v>393</v>
      </c>
      <c r="B554" s="3">
        <v>551</v>
      </c>
      <c r="C554" s="3">
        <f t="shared" si="33"/>
        <v>1101</v>
      </c>
      <c r="D554" s="3">
        <f t="shared" si="34"/>
        <v>1102</v>
      </c>
      <c r="E554" s="3" t="str">
        <f t="shared" si="32"/>
        <v>dump:3314001173&amp;1111006173</v>
      </c>
      <c r="F554" s="3" t="str">
        <f t="shared" si="35"/>
        <v>哑资源设备_551</v>
      </c>
      <c r="G554" s="10" t="s">
        <v>406</v>
      </c>
      <c r="H554" s="3" t="str">
        <f>"检测机架"&amp;INDEX([1]机架!$D:$D,C554+3)&amp;IF(D554&lt;&gt;"","和"&amp;INDEX([1]机架!$D:$D,D554+3),"")&amp;"的数据"</f>
        <v>检测机架五莲解放路の机架-9和滨州渤海七路の机架-1的数据</v>
      </c>
      <c r="I554" s="3">
        <f>INDEX([1]机架!$C:$C,C554+3)</f>
        <v>3711004133</v>
      </c>
      <c r="J554" s="3">
        <f>IF(D554&lt;&gt;"",INDEX([1]机架!$C:$C,D554+3),0)</f>
        <v>3716001111</v>
      </c>
    </row>
    <row r="555" spans="1:10" ht="16.5" x14ac:dyDescent="0.2">
      <c r="A555" s="3" t="s">
        <v>393</v>
      </c>
      <c r="B555" s="3">
        <v>552</v>
      </c>
      <c r="C555" s="3">
        <f t="shared" si="33"/>
        <v>1103</v>
      </c>
      <c r="D555" s="3">
        <f t="shared" si="34"/>
        <v>1104</v>
      </c>
      <c r="E555" s="3" t="str">
        <f t="shared" si="32"/>
        <v>dump:2111006173&amp;3111006173</v>
      </c>
      <c r="F555" s="3" t="str">
        <f t="shared" si="35"/>
        <v>哑资源设备_552</v>
      </c>
      <c r="G555" s="10" t="s">
        <v>406</v>
      </c>
      <c r="H555" s="3" t="str">
        <f>"检测机架"&amp;INDEX([1]机架!$D:$D,C555+3)&amp;IF(D555&lt;&gt;"","和"&amp;INDEX([1]机架!$D:$D,D555+3),"")&amp;"的数据"</f>
        <v>检测机架滨州渤海七路の机架-2和滨州渤海七路の机架-3的数据</v>
      </c>
      <c r="I555" s="3">
        <f>INDEX([1]机架!$C:$C,C555+3)</f>
        <v>3716001112</v>
      </c>
      <c r="J555" s="3">
        <f>IF(D555&lt;&gt;"",INDEX([1]机架!$C:$C,D555+3),0)</f>
        <v>3716001113</v>
      </c>
    </row>
    <row r="556" spans="1:10" ht="16.5" x14ac:dyDescent="0.2">
      <c r="A556" s="3" t="s">
        <v>393</v>
      </c>
      <c r="B556" s="3">
        <v>553</v>
      </c>
      <c r="C556" s="3">
        <f t="shared" si="33"/>
        <v>1105</v>
      </c>
      <c r="D556" s="3">
        <f t="shared" si="34"/>
        <v>1106</v>
      </c>
      <c r="E556" s="3" t="str">
        <f t="shared" si="32"/>
        <v>dump:1211006173&amp;2211006173</v>
      </c>
      <c r="F556" s="3" t="str">
        <f t="shared" si="35"/>
        <v>哑资源设备_553</v>
      </c>
      <c r="G556" s="10" t="s">
        <v>406</v>
      </c>
      <c r="H556" s="3" t="str">
        <f>"检测机架"&amp;INDEX([1]机架!$D:$D,C556+3)&amp;IF(D556&lt;&gt;"","和"&amp;INDEX([1]机架!$D:$D,D556+3),"")&amp;"的数据"</f>
        <v>检测机架滨州渤海七路の机架-4和滨州渤海七路の机架-5的数据</v>
      </c>
      <c r="I556" s="3">
        <f>INDEX([1]机架!$C:$C,C556+3)</f>
        <v>3716001121</v>
      </c>
      <c r="J556" s="3">
        <f>IF(D556&lt;&gt;"",INDEX([1]机架!$C:$C,D556+3),0)</f>
        <v>3716001122</v>
      </c>
    </row>
    <row r="557" spans="1:10" ht="16.5" x14ac:dyDescent="0.2">
      <c r="A557" s="3" t="s">
        <v>393</v>
      </c>
      <c r="B557" s="3">
        <v>554</v>
      </c>
      <c r="C557" s="3">
        <f t="shared" si="33"/>
        <v>1107</v>
      </c>
      <c r="D557" s="3">
        <f t="shared" si="34"/>
        <v>1108</v>
      </c>
      <c r="E557" s="3" t="str">
        <f t="shared" si="32"/>
        <v>dump:3211006173&amp;1311006173</v>
      </c>
      <c r="F557" s="3" t="str">
        <f t="shared" si="35"/>
        <v>哑资源设备_554</v>
      </c>
      <c r="G557" s="10" t="s">
        <v>406</v>
      </c>
      <c r="H557" s="3" t="str">
        <f>"检测机架"&amp;INDEX([1]机架!$D:$D,C557+3)&amp;IF(D557&lt;&gt;"","和"&amp;INDEX([1]机架!$D:$D,D557+3),"")&amp;"的数据"</f>
        <v>检测机架滨州渤海七路の机架-6和滨州渤海七路の机架-7的数据</v>
      </c>
      <c r="I557" s="3">
        <f>INDEX([1]机架!$C:$C,C557+3)</f>
        <v>3716001123</v>
      </c>
      <c r="J557" s="3">
        <f>IF(D557&lt;&gt;"",INDEX([1]机架!$C:$C,D557+3),0)</f>
        <v>3716001131</v>
      </c>
    </row>
    <row r="558" spans="1:10" ht="16.5" x14ac:dyDescent="0.2">
      <c r="A558" s="3" t="s">
        <v>393</v>
      </c>
      <c r="B558" s="3">
        <v>555</v>
      </c>
      <c r="C558" s="3">
        <f t="shared" si="33"/>
        <v>1109</v>
      </c>
      <c r="D558" s="3">
        <f t="shared" si="34"/>
        <v>1110</v>
      </c>
      <c r="E558" s="3" t="str">
        <f t="shared" si="32"/>
        <v>dump:2311006173&amp;3311006173</v>
      </c>
      <c r="F558" s="3" t="str">
        <f t="shared" si="35"/>
        <v>哑资源设备_555</v>
      </c>
      <c r="G558" s="10" t="s">
        <v>406</v>
      </c>
      <c r="H558" s="3" t="str">
        <f>"检测机架"&amp;INDEX([1]机架!$D:$D,C558+3)&amp;IF(D558&lt;&gt;"","和"&amp;INDEX([1]机架!$D:$D,D558+3),"")&amp;"的数据"</f>
        <v>检测机架滨州渤海七路の机架-8和滨州渤海七路の机架-9的数据</v>
      </c>
      <c r="I558" s="3">
        <f>INDEX([1]机架!$C:$C,C558+3)</f>
        <v>3716001132</v>
      </c>
      <c r="J558" s="3">
        <f>IF(D558&lt;&gt;"",INDEX([1]机架!$C:$C,D558+3),0)</f>
        <v>3716001133</v>
      </c>
    </row>
    <row r="559" spans="1:10" ht="16.5" x14ac:dyDescent="0.2">
      <c r="A559" s="3" t="s">
        <v>393</v>
      </c>
      <c r="B559" s="3">
        <v>556</v>
      </c>
      <c r="C559" s="3">
        <f t="shared" si="33"/>
        <v>1111</v>
      </c>
      <c r="D559" s="3">
        <f t="shared" si="34"/>
        <v>1112</v>
      </c>
      <c r="E559" s="3" t="str">
        <f t="shared" si="32"/>
        <v>dump:1121006173&amp;2121006173</v>
      </c>
      <c r="F559" s="3" t="str">
        <f t="shared" si="35"/>
        <v>哑资源设备_556</v>
      </c>
      <c r="G559" s="10" t="s">
        <v>406</v>
      </c>
      <c r="H559" s="3" t="str">
        <f>"检测机架"&amp;INDEX([1]机架!$D:$D,C559+3)&amp;IF(D559&lt;&gt;"","和"&amp;INDEX([1]机架!$D:$D,D559+3),"")&amp;"的数据"</f>
        <v>检测机架滨州渤海七路の机架-10和滨州渤海七路の机架-11的数据</v>
      </c>
      <c r="I559" s="3">
        <f>INDEX([1]机架!$C:$C,C559+3)</f>
        <v>3716001211</v>
      </c>
      <c r="J559" s="3">
        <f>IF(D559&lt;&gt;"",INDEX([1]机架!$C:$C,D559+3),0)</f>
        <v>3716001212</v>
      </c>
    </row>
    <row r="560" spans="1:10" ht="16.5" x14ac:dyDescent="0.2">
      <c r="A560" s="3" t="s">
        <v>393</v>
      </c>
      <c r="B560" s="3">
        <v>557</v>
      </c>
      <c r="C560" s="3">
        <f t="shared" si="33"/>
        <v>1113</v>
      </c>
      <c r="D560" s="3">
        <f t="shared" si="34"/>
        <v>1114</v>
      </c>
      <c r="E560" s="3" t="str">
        <f t="shared" si="32"/>
        <v>dump:3121006173&amp;1221006173</v>
      </c>
      <c r="F560" s="3" t="str">
        <f t="shared" si="35"/>
        <v>哑资源设备_557</v>
      </c>
      <c r="G560" s="10" t="s">
        <v>406</v>
      </c>
      <c r="H560" s="3" t="str">
        <f>"检测机架"&amp;INDEX([1]机架!$D:$D,C560+3)&amp;IF(D560&lt;&gt;"","和"&amp;INDEX([1]机架!$D:$D,D560+3),"")&amp;"的数据"</f>
        <v>检测机架滨州渤海七路の机架-12和滨州渤海七路の机架-13的数据</v>
      </c>
      <c r="I560" s="3">
        <f>INDEX([1]机架!$C:$C,C560+3)</f>
        <v>3716001213</v>
      </c>
      <c r="J560" s="3">
        <f>IF(D560&lt;&gt;"",INDEX([1]机架!$C:$C,D560+3),0)</f>
        <v>3716001221</v>
      </c>
    </row>
    <row r="561" spans="1:10" ht="16.5" x14ac:dyDescent="0.2">
      <c r="A561" s="3" t="s">
        <v>393</v>
      </c>
      <c r="B561" s="3">
        <v>558</v>
      </c>
      <c r="C561" s="3">
        <f t="shared" si="33"/>
        <v>1115</v>
      </c>
      <c r="D561" s="3">
        <f t="shared" si="34"/>
        <v>1116</v>
      </c>
      <c r="E561" s="3" t="str">
        <f t="shared" si="32"/>
        <v>dump:2221006173&amp;3221006173</v>
      </c>
      <c r="F561" s="3" t="str">
        <f t="shared" si="35"/>
        <v>哑资源设备_558</v>
      </c>
      <c r="G561" s="10" t="s">
        <v>406</v>
      </c>
      <c r="H561" s="3" t="str">
        <f>"检测机架"&amp;INDEX([1]机架!$D:$D,C561+3)&amp;IF(D561&lt;&gt;"","和"&amp;INDEX([1]机架!$D:$D,D561+3),"")&amp;"的数据"</f>
        <v>检测机架滨州渤海七路の机架-14和滨州渤海七路の机架-15的数据</v>
      </c>
      <c r="I561" s="3">
        <f>INDEX([1]机架!$C:$C,C561+3)</f>
        <v>3716001222</v>
      </c>
      <c r="J561" s="3">
        <f>IF(D561&lt;&gt;"",INDEX([1]机架!$C:$C,D561+3),0)</f>
        <v>3716001223</v>
      </c>
    </row>
    <row r="562" spans="1:10" ht="16.5" x14ac:dyDescent="0.2">
      <c r="A562" s="3" t="s">
        <v>393</v>
      </c>
      <c r="B562" s="3">
        <v>559</v>
      </c>
      <c r="C562" s="3">
        <f t="shared" si="33"/>
        <v>1117</v>
      </c>
      <c r="D562" s="3">
        <f t="shared" si="34"/>
        <v>1118</v>
      </c>
      <c r="E562" s="3" t="str">
        <f t="shared" si="32"/>
        <v>dump:1321006173&amp;2321006173</v>
      </c>
      <c r="F562" s="3" t="str">
        <f t="shared" si="35"/>
        <v>哑资源设备_559</v>
      </c>
      <c r="G562" s="10" t="s">
        <v>406</v>
      </c>
      <c r="H562" s="3" t="str">
        <f>"检测机架"&amp;INDEX([1]机架!$D:$D,C562+3)&amp;IF(D562&lt;&gt;"","和"&amp;INDEX([1]机架!$D:$D,D562+3),"")&amp;"的数据"</f>
        <v>检测机架滨州渤海七路の机架-16和滨州渤海七路の机架-17的数据</v>
      </c>
      <c r="I562" s="3">
        <f>INDEX([1]机架!$C:$C,C562+3)</f>
        <v>3716001231</v>
      </c>
      <c r="J562" s="3">
        <f>IF(D562&lt;&gt;"",INDEX([1]机架!$C:$C,D562+3),0)</f>
        <v>3716001232</v>
      </c>
    </row>
    <row r="563" spans="1:10" ht="16.5" x14ac:dyDescent="0.2">
      <c r="A563" s="3" t="s">
        <v>393</v>
      </c>
      <c r="B563" s="3">
        <v>560</v>
      </c>
      <c r="C563" s="3">
        <f t="shared" si="33"/>
        <v>1119</v>
      </c>
      <c r="D563" s="3">
        <f t="shared" si="34"/>
        <v>1120</v>
      </c>
      <c r="E563" s="3" t="str">
        <f t="shared" si="32"/>
        <v>dump:3321006173&amp;1112006173</v>
      </c>
      <c r="F563" s="3" t="str">
        <f t="shared" si="35"/>
        <v>哑资源设备_560</v>
      </c>
      <c r="G563" s="10" t="s">
        <v>406</v>
      </c>
      <c r="H563" s="3" t="str">
        <f>"检测机架"&amp;INDEX([1]机架!$D:$D,C563+3)&amp;IF(D563&lt;&gt;"","和"&amp;INDEX([1]机架!$D:$D,D563+3),"")&amp;"的数据"</f>
        <v>检测机架滨州渤海七路の机架-18和滨州黄五审计局の机架-1的数据</v>
      </c>
      <c r="I563" s="3">
        <f>INDEX([1]机架!$C:$C,C563+3)</f>
        <v>3716001233</v>
      </c>
      <c r="J563" s="3">
        <f>IF(D563&lt;&gt;"",INDEX([1]机架!$C:$C,D563+3),0)</f>
        <v>3716002111</v>
      </c>
    </row>
    <row r="564" spans="1:10" ht="16.5" x14ac:dyDescent="0.2">
      <c r="A564" s="3" t="s">
        <v>393</v>
      </c>
      <c r="B564" s="3">
        <v>561</v>
      </c>
      <c r="C564" s="3">
        <f t="shared" si="33"/>
        <v>1121</v>
      </c>
      <c r="D564" s="3">
        <f t="shared" si="34"/>
        <v>1122</v>
      </c>
      <c r="E564" s="3" t="str">
        <f t="shared" si="32"/>
        <v>dump:2112006173&amp;3112006173</v>
      </c>
      <c r="F564" s="3" t="str">
        <f t="shared" si="35"/>
        <v>哑资源设备_561</v>
      </c>
      <c r="G564" s="10" t="s">
        <v>406</v>
      </c>
      <c r="H564" s="3" t="str">
        <f>"检测机架"&amp;INDEX([1]机架!$D:$D,C564+3)&amp;IF(D564&lt;&gt;"","和"&amp;INDEX([1]机架!$D:$D,D564+3),"")&amp;"的数据"</f>
        <v>检测机架滨州黄五审计局の机架-2和滨州黄五审计局の机架-3的数据</v>
      </c>
      <c r="I564" s="3">
        <f>INDEX([1]机架!$C:$C,C564+3)</f>
        <v>3716002112</v>
      </c>
      <c r="J564" s="3">
        <f>IF(D564&lt;&gt;"",INDEX([1]机架!$C:$C,D564+3),0)</f>
        <v>3716002113</v>
      </c>
    </row>
    <row r="565" spans="1:10" ht="16.5" x14ac:dyDescent="0.2">
      <c r="A565" s="3" t="s">
        <v>393</v>
      </c>
      <c r="B565" s="3">
        <v>562</v>
      </c>
      <c r="C565" s="3">
        <f t="shared" si="33"/>
        <v>1123</v>
      </c>
      <c r="D565" s="3">
        <f t="shared" si="34"/>
        <v>1124</v>
      </c>
      <c r="E565" s="3" t="str">
        <f t="shared" si="32"/>
        <v>dump:1212006173&amp;2212006173</v>
      </c>
      <c r="F565" s="3" t="str">
        <f t="shared" si="35"/>
        <v>哑资源设备_562</v>
      </c>
      <c r="G565" s="10" t="s">
        <v>406</v>
      </c>
      <c r="H565" s="3" t="str">
        <f>"检测机架"&amp;INDEX([1]机架!$D:$D,C565+3)&amp;IF(D565&lt;&gt;"","和"&amp;INDEX([1]机架!$D:$D,D565+3),"")&amp;"的数据"</f>
        <v>检测机架滨州黄五审计局の机架-4和滨州黄五审计局の机架-5的数据</v>
      </c>
      <c r="I565" s="3">
        <f>INDEX([1]机架!$C:$C,C565+3)</f>
        <v>3716002121</v>
      </c>
      <c r="J565" s="3">
        <f>IF(D565&lt;&gt;"",INDEX([1]机架!$C:$C,D565+3),0)</f>
        <v>3716002122</v>
      </c>
    </row>
    <row r="566" spans="1:10" ht="16.5" x14ac:dyDescent="0.2">
      <c r="A566" s="3" t="s">
        <v>393</v>
      </c>
      <c r="B566" s="3">
        <v>563</v>
      </c>
      <c r="C566" s="3">
        <f t="shared" si="33"/>
        <v>1125</v>
      </c>
      <c r="D566" s="3">
        <f t="shared" si="34"/>
        <v>1126</v>
      </c>
      <c r="E566" s="3" t="str">
        <f t="shared" si="32"/>
        <v>dump:3212006173&amp;1312006173</v>
      </c>
      <c r="F566" s="3" t="str">
        <f t="shared" si="35"/>
        <v>哑资源设备_563</v>
      </c>
      <c r="G566" s="10" t="s">
        <v>406</v>
      </c>
      <c r="H566" s="3" t="str">
        <f>"检测机架"&amp;INDEX([1]机架!$D:$D,C566+3)&amp;IF(D566&lt;&gt;"","和"&amp;INDEX([1]机架!$D:$D,D566+3),"")&amp;"的数据"</f>
        <v>检测机架滨州黄五审计局の机架-6和滨州黄五审计局の机架-7的数据</v>
      </c>
      <c r="I566" s="3">
        <f>INDEX([1]机架!$C:$C,C566+3)</f>
        <v>3716002123</v>
      </c>
      <c r="J566" s="3">
        <f>IF(D566&lt;&gt;"",INDEX([1]机架!$C:$C,D566+3),0)</f>
        <v>3716002131</v>
      </c>
    </row>
    <row r="567" spans="1:10" ht="16.5" x14ac:dyDescent="0.2">
      <c r="A567" s="3" t="s">
        <v>393</v>
      </c>
      <c r="B567" s="3">
        <v>564</v>
      </c>
      <c r="C567" s="3">
        <f t="shared" si="33"/>
        <v>1127</v>
      </c>
      <c r="D567" s="3">
        <f t="shared" si="34"/>
        <v>1128</v>
      </c>
      <c r="E567" s="3" t="str">
        <f t="shared" si="32"/>
        <v>dump:2312006173&amp;3312006173</v>
      </c>
      <c r="F567" s="3" t="str">
        <f t="shared" si="35"/>
        <v>哑资源设备_564</v>
      </c>
      <c r="G567" s="10" t="s">
        <v>406</v>
      </c>
      <c r="H567" s="3" t="str">
        <f>"检测机架"&amp;INDEX([1]机架!$D:$D,C567+3)&amp;IF(D567&lt;&gt;"","和"&amp;INDEX([1]机架!$D:$D,D567+3),"")&amp;"的数据"</f>
        <v>检测机架滨州黄五审计局の机架-8和滨州黄五审计局の机架-9的数据</v>
      </c>
      <c r="I567" s="3">
        <f>INDEX([1]机架!$C:$C,C567+3)</f>
        <v>3716002132</v>
      </c>
      <c r="J567" s="3">
        <f>IF(D567&lt;&gt;"",INDEX([1]机架!$C:$C,D567+3),0)</f>
        <v>3716002133</v>
      </c>
    </row>
    <row r="568" spans="1:10" ht="16.5" x14ac:dyDescent="0.2">
      <c r="A568" s="3" t="s">
        <v>393</v>
      </c>
      <c r="B568" s="3">
        <v>565</v>
      </c>
      <c r="C568" s="3">
        <f t="shared" si="33"/>
        <v>1129</v>
      </c>
      <c r="D568" s="3">
        <f t="shared" si="34"/>
        <v>1130</v>
      </c>
      <c r="E568" s="3" t="str">
        <f t="shared" si="32"/>
        <v>dump:1113006173&amp;2113006173</v>
      </c>
      <c r="F568" s="3" t="str">
        <f t="shared" si="35"/>
        <v>哑资源设备_565</v>
      </c>
      <c r="G568" s="10" t="s">
        <v>406</v>
      </c>
      <c r="H568" s="3" t="str">
        <f>"检测机架"&amp;INDEX([1]机架!$D:$D,C568+3)&amp;IF(D568&lt;&gt;"","和"&amp;INDEX([1]机架!$D:$D,D568+3),"")&amp;"的数据"</f>
        <v>检测机架滨州黄河十路の机架-1和滨州黄河十路の机架-2的数据</v>
      </c>
      <c r="I568" s="3">
        <f>INDEX([1]机架!$C:$C,C568+3)</f>
        <v>3716003111</v>
      </c>
      <c r="J568" s="3">
        <f>IF(D568&lt;&gt;"",INDEX([1]机架!$C:$C,D568+3),0)</f>
        <v>3716003112</v>
      </c>
    </row>
    <row r="569" spans="1:10" ht="16.5" x14ac:dyDescent="0.2">
      <c r="A569" s="3" t="s">
        <v>393</v>
      </c>
      <c r="B569" s="3">
        <v>566</v>
      </c>
      <c r="C569" s="3">
        <f t="shared" si="33"/>
        <v>1131</v>
      </c>
      <c r="D569" s="3">
        <f t="shared" si="34"/>
        <v>1132</v>
      </c>
      <c r="E569" s="3" t="str">
        <f t="shared" si="32"/>
        <v>dump:3113006173&amp;1213006173</v>
      </c>
      <c r="F569" s="3" t="str">
        <f t="shared" si="35"/>
        <v>哑资源设备_566</v>
      </c>
      <c r="G569" s="10" t="s">
        <v>406</v>
      </c>
      <c r="H569" s="3" t="str">
        <f>"检测机架"&amp;INDEX([1]机架!$D:$D,C569+3)&amp;IF(D569&lt;&gt;"","和"&amp;INDEX([1]机架!$D:$D,D569+3),"")&amp;"的数据"</f>
        <v>检测机架滨州黄河十路の机架-3和滨州黄河十路の机架-4的数据</v>
      </c>
      <c r="I569" s="3">
        <f>INDEX([1]机架!$C:$C,C569+3)</f>
        <v>3716003113</v>
      </c>
      <c r="J569" s="3">
        <f>IF(D569&lt;&gt;"",INDEX([1]机架!$C:$C,D569+3),0)</f>
        <v>3716003121</v>
      </c>
    </row>
    <row r="570" spans="1:10" ht="16.5" x14ac:dyDescent="0.2">
      <c r="A570" s="3" t="s">
        <v>393</v>
      </c>
      <c r="B570" s="3">
        <v>567</v>
      </c>
      <c r="C570" s="3">
        <f t="shared" si="33"/>
        <v>1133</v>
      </c>
      <c r="D570" s="3">
        <f t="shared" si="34"/>
        <v>1134</v>
      </c>
      <c r="E570" s="3" t="str">
        <f t="shared" si="32"/>
        <v>dump:2213006173&amp;3213006173</v>
      </c>
      <c r="F570" s="3" t="str">
        <f t="shared" si="35"/>
        <v>哑资源设备_567</v>
      </c>
      <c r="G570" s="10" t="s">
        <v>406</v>
      </c>
      <c r="H570" s="3" t="str">
        <f>"检测机架"&amp;INDEX([1]机架!$D:$D,C570+3)&amp;IF(D570&lt;&gt;"","和"&amp;INDEX([1]机架!$D:$D,D570+3),"")&amp;"的数据"</f>
        <v>检测机架滨州黄河十路の机架-5和滨州黄河十路の机架-6的数据</v>
      </c>
      <c r="I570" s="3">
        <f>INDEX([1]机架!$C:$C,C570+3)</f>
        <v>3716003122</v>
      </c>
      <c r="J570" s="3">
        <f>IF(D570&lt;&gt;"",INDEX([1]机架!$C:$C,D570+3),0)</f>
        <v>3716003123</v>
      </c>
    </row>
    <row r="571" spans="1:10" ht="16.5" x14ac:dyDescent="0.2">
      <c r="A571" s="3" t="s">
        <v>393</v>
      </c>
      <c r="B571" s="3">
        <v>568</v>
      </c>
      <c r="C571" s="3">
        <f t="shared" si="33"/>
        <v>1135</v>
      </c>
      <c r="D571" s="3">
        <f t="shared" si="34"/>
        <v>1136</v>
      </c>
      <c r="E571" s="3" t="str">
        <f t="shared" si="32"/>
        <v>dump:1313006173&amp;2313006173</v>
      </c>
      <c r="F571" s="3" t="str">
        <f t="shared" si="35"/>
        <v>哑资源设备_568</v>
      </c>
      <c r="G571" s="10" t="s">
        <v>406</v>
      </c>
      <c r="H571" s="3" t="str">
        <f>"检测机架"&amp;INDEX([1]机架!$D:$D,C571+3)&amp;IF(D571&lt;&gt;"","和"&amp;INDEX([1]机架!$D:$D,D571+3),"")&amp;"的数据"</f>
        <v>检测机架滨州黄河十路の机架-7和滨州黄河十路の机架-8的数据</v>
      </c>
      <c r="I571" s="3">
        <f>INDEX([1]机架!$C:$C,C571+3)</f>
        <v>3716003131</v>
      </c>
      <c r="J571" s="3">
        <f>IF(D571&lt;&gt;"",INDEX([1]机架!$C:$C,D571+3),0)</f>
        <v>3716003132</v>
      </c>
    </row>
    <row r="572" spans="1:10" ht="16.5" x14ac:dyDescent="0.2">
      <c r="A572" s="3" t="s">
        <v>393</v>
      </c>
      <c r="B572" s="3">
        <v>569</v>
      </c>
      <c r="C572" s="3">
        <f t="shared" si="33"/>
        <v>1137</v>
      </c>
      <c r="D572" s="3">
        <f t="shared" si="34"/>
        <v>1138</v>
      </c>
      <c r="E572" s="3" t="str">
        <f t="shared" si="32"/>
        <v>dump:3313006173&amp;1114006173</v>
      </c>
      <c r="F572" s="3" t="str">
        <f t="shared" si="35"/>
        <v>哑资源设备_569</v>
      </c>
      <c r="G572" s="10" t="s">
        <v>406</v>
      </c>
      <c r="H572" s="3" t="str">
        <f>"检测机架"&amp;INDEX([1]机架!$D:$D,C572+3)&amp;IF(D572&lt;&gt;"","和"&amp;INDEX([1]机架!$D:$D,D572+3),"")&amp;"的数据"</f>
        <v>检测机架滨州黄河十路の机架-9和无棣中心大街の机架-1的数据</v>
      </c>
      <c r="I572" s="3">
        <f>INDEX([1]机架!$C:$C,C572+3)</f>
        <v>3716003133</v>
      </c>
      <c r="J572" s="3">
        <f>IF(D572&lt;&gt;"",INDEX([1]机架!$C:$C,D572+3),0)</f>
        <v>3716004111</v>
      </c>
    </row>
    <row r="573" spans="1:10" ht="16.5" x14ac:dyDescent="0.2">
      <c r="A573" s="3" t="s">
        <v>393</v>
      </c>
      <c r="B573" s="3">
        <v>570</v>
      </c>
      <c r="C573" s="3">
        <f t="shared" si="33"/>
        <v>1139</v>
      </c>
      <c r="D573" s="3">
        <f t="shared" si="34"/>
        <v>1140</v>
      </c>
      <c r="E573" s="3" t="str">
        <f t="shared" si="32"/>
        <v>dump:2114006173&amp;3114006173</v>
      </c>
      <c r="F573" s="3" t="str">
        <f t="shared" si="35"/>
        <v>哑资源设备_570</v>
      </c>
      <c r="G573" s="10" t="s">
        <v>406</v>
      </c>
      <c r="H573" s="3" t="str">
        <f>"检测机架"&amp;INDEX([1]机架!$D:$D,C573+3)&amp;IF(D573&lt;&gt;"","和"&amp;INDEX([1]机架!$D:$D,D573+3),"")&amp;"的数据"</f>
        <v>检测机架无棣中心大街の机架-2和无棣中心大街の机架-3的数据</v>
      </c>
      <c r="I573" s="3">
        <f>INDEX([1]机架!$C:$C,C573+3)</f>
        <v>3716004112</v>
      </c>
      <c r="J573" s="3">
        <f>IF(D573&lt;&gt;"",INDEX([1]机架!$C:$C,D573+3),0)</f>
        <v>3716004113</v>
      </c>
    </row>
    <row r="574" spans="1:10" ht="16.5" x14ac:dyDescent="0.2">
      <c r="A574" s="3" t="s">
        <v>393</v>
      </c>
      <c r="B574" s="3">
        <v>571</v>
      </c>
      <c r="C574" s="3">
        <f t="shared" si="33"/>
        <v>1141</v>
      </c>
      <c r="D574" s="3">
        <f t="shared" si="34"/>
        <v>1142</v>
      </c>
      <c r="E574" s="3" t="str">
        <f t="shared" si="32"/>
        <v>dump:1214006173&amp;2214006173</v>
      </c>
      <c r="F574" s="3" t="str">
        <f t="shared" si="35"/>
        <v>哑资源设备_571</v>
      </c>
      <c r="G574" s="10" t="s">
        <v>406</v>
      </c>
      <c r="H574" s="3" t="str">
        <f>"检测机架"&amp;INDEX([1]机架!$D:$D,C574+3)&amp;IF(D574&lt;&gt;"","和"&amp;INDEX([1]机架!$D:$D,D574+3),"")&amp;"的数据"</f>
        <v>检测机架无棣中心大街の机架-4和无棣中心大街の机架-5的数据</v>
      </c>
      <c r="I574" s="3">
        <f>INDEX([1]机架!$C:$C,C574+3)</f>
        <v>3716004121</v>
      </c>
      <c r="J574" s="3">
        <f>IF(D574&lt;&gt;"",INDEX([1]机架!$C:$C,D574+3),0)</f>
        <v>3716004122</v>
      </c>
    </row>
    <row r="575" spans="1:10" ht="16.5" x14ac:dyDescent="0.2">
      <c r="A575" s="3" t="s">
        <v>393</v>
      </c>
      <c r="B575" s="3">
        <v>572</v>
      </c>
      <c r="C575" s="3">
        <f t="shared" si="33"/>
        <v>1143</v>
      </c>
      <c r="D575" s="3">
        <f t="shared" si="34"/>
        <v>1144</v>
      </c>
      <c r="E575" s="3" t="str">
        <f t="shared" si="32"/>
        <v>dump:3214006173&amp;1314006173</v>
      </c>
      <c r="F575" s="3" t="str">
        <f t="shared" si="35"/>
        <v>哑资源设备_572</v>
      </c>
      <c r="G575" s="10" t="s">
        <v>406</v>
      </c>
      <c r="H575" s="3" t="str">
        <f>"检测机架"&amp;INDEX([1]机架!$D:$D,C575+3)&amp;IF(D575&lt;&gt;"","和"&amp;INDEX([1]机架!$D:$D,D575+3),"")&amp;"的数据"</f>
        <v>检测机架无棣中心大街の机架-6和无棣中心大街の机架-7的数据</v>
      </c>
      <c r="I575" s="3">
        <f>INDEX([1]机架!$C:$C,C575+3)</f>
        <v>3716004123</v>
      </c>
      <c r="J575" s="3">
        <f>IF(D575&lt;&gt;"",INDEX([1]机架!$C:$C,D575+3),0)</f>
        <v>3716004131</v>
      </c>
    </row>
    <row r="576" spans="1:10" ht="16.5" x14ac:dyDescent="0.2">
      <c r="A576" s="3" t="s">
        <v>393</v>
      </c>
      <c r="B576" s="3">
        <v>573</v>
      </c>
      <c r="C576" s="3">
        <f t="shared" si="33"/>
        <v>1145</v>
      </c>
      <c r="D576" s="3">
        <f t="shared" si="34"/>
        <v>1146</v>
      </c>
      <c r="E576" s="3" t="str">
        <f t="shared" si="32"/>
        <v>dump:2314006173&amp;3314006173</v>
      </c>
      <c r="F576" s="3" t="str">
        <f t="shared" si="35"/>
        <v>哑资源设备_573</v>
      </c>
      <c r="G576" s="10" t="s">
        <v>406</v>
      </c>
      <c r="H576" s="3" t="str">
        <f>"检测机架"&amp;INDEX([1]机架!$D:$D,C576+3)&amp;IF(D576&lt;&gt;"","和"&amp;INDEX([1]机架!$D:$D,D576+3),"")&amp;"的数据"</f>
        <v>检测机架无棣中心大街の机架-8和无棣中心大街の机架-9的数据</v>
      </c>
      <c r="I576" s="3">
        <f>INDEX([1]机架!$C:$C,C576+3)</f>
        <v>3716004132</v>
      </c>
      <c r="J576" s="3">
        <f>IF(D576&lt;&gt;"",INDEX([1]机架!$C:$C,D576+3),0)</f>
        <v>3716004133</v>
      </c>
    </row>
    <row r="577" spans="1:10" ht="16.5" x14ac:dyDescent="0.2">
      <c r="A577" s="3" t="s">
        <v>393</v>
      </c>
      <c r="B577" s="3">
        <v>574</v>
      </c>
      <c r="C577" s="3">
        <f t="shared" si="33"/>
        <v>1147</v>
      </c>
      <c r="D577" s="3">
        <f t="shared" si="34"/>
        <v>1148</v>
      </c>
      <c r="E577" s="3" t="str">
        <f t="shared" si="32"/>
        <v>dump:1115006173&amp;2115006173</v>
      </c>
      <c r="F577" s="3" t="str">
        <f t="shared" si="35"/>
        <v>哑资源设备_574</v>
      </c>
      <c r="G577" s="10" t="s">
        <v>406</v>
      </c>
      <c r="H577" s="3" t="str">
        <f>"检测机架"&amp;INDEX([1]机架!$D:$D,C577+3)&amp;IF(D577&lt;&gt;"","和"&amp;INDEX([1]机架!$D:$D,D577+3),"")&amp;"的数据"</f>
        <v>检测机架阳信幸福三路の机架-1和阳信幸福三路の机架-2的数据</v>
      </c>
      <c r="I577" s="3">
        <f>INDEX([1]机架!$C:$C,C577+3)</f>
        <v>3716005111</v>
      </c>
      <c r="J577" s="3">
        <f>IF(D577&lt;&gt;"",INDEX([1]机架!$C:$C,D577+3),0)</f>
        <v>3716005112</v>
      </c>
    </row>
    <row r="578" spans="1:10" ht="16.5" x14ac:dyDescent="0.2">
      <c r="A578" s="3" t="s">
        <v>393</v>
      </c>
      <c r="B578" s="3">
        <v>575</v>
      </c>
      <c r="C578" s="3">
        <f t="shared" si="33"/>
        <v>1149</v>
      </c>
      <c r="D578" s="3">
        <f t="shared" si="34"/>
        <v>1150</v>
      </c>
      <c r="E578" s="3" t="str">
        <f t="shared" si="32"/>
        <v>dump:3115006173&amp;1215006173</v>
      </c>
      <c r="F578" s="3" t="str">
        <f t="shared" si="35"/>
        <v>哑资源设备_575</v>
      </c>
      <c r="G578" s="10" t="s">
        <v>406</v>
      </c>
      <c r="H578" s="3" t="str">
        <f>"检测机架"&amp;INDEX([1]机架!$D:$D,C578+3)&amp;IF(D578&lt;&gt;"","和"&amp;INDEX([1]机架!$D:$D,D578+3),"")&amp;"的数据"</f>
        <v>检测机架阳信幸福三路の机架-3和阳信幸福三路の机架-4的数据</v>
      </c>
      <c r="I578" s="3">
        <f>INDEX([1]机架!$C:$C,C578+3)</f>
        <v>3716005113</v>
      </c>
      <c r="J578" s="3">
        <f>IF(D578&lt;&gt;"",INDEX([1]机架!$C:$C,D578+3),0)</f>
        <v>3716005121</v>
      </c>
    </row>
    <row r="579" spans="1:10" ht="16.5" x14ac:dyDescent="0.2">
      <c r="A579" s="3" t="s">
        <v>393</v>
      </c>
      <c r="B579" s="3">
        <v>576</v>
      </c>
      <c r="C579" s="3">
        <f t="shared" si="33"/>
        <v>1151</v>
      </c>
      <c r="D579" s="3">
        <f t="shared" si="34"/>
        <v>1152</v>
      </c>
      <c r="E579" s="3" t="str">
        <f t="shared" si="32"/>
        <v>dump:2215006173&amp;3215006173</v>
      </c>
      <c r="F579" s="3" t="str">
        <f t="shared" si="35"/>
        <v>哑资源设备_576</v>
      </c>
      <c r="G579" s="10" t="s">
        <v>406</v>
      </c>
      <c r="H579" s="3" t="str">
        <f>"检测机架"&amp;INDEX([1]机架!$D:$D,C579+3)&amp;IF(D579&lt;&gt;"","和"&amp;INDEX([1]机架!$D:$D,D579+3),"")&amp;"的数据"</f>
        <v>检测机架阳信幸福三路の机架-5和阳信幸福三路の机架-6的数据</v>
      </c>
      <c r="I579" s="3">
        <f>INDEX([1]机架!$C:$C,C579+3)</f>
        <v>3716005122</v>
      </c>
      <c r="J579" s="3">
        <f>IF(D579&lt;&gt;"",INDEX([1]机架!$C:$C,D579+3),0)</f>
        <v>3716005123</v>
      </c>
    </row>
    <row r="580" spans="1:10" ht="16.5" x14ac:dyDescent="0.2">
      <c r="A580" s="3" t="s">
        <v>393</v>
      </c>
      <c r="B580" s="3">
        <v>577</v>
      </c>
      <c r="C580" s="3">
        <f t="shared" si="33"/>
        <v>1153</v>
      </c>
      <c r="D580" s="3">
        <f t="shared" si="34"/>
        <v>1154</v>
      </c>
      <c r="E580" s="3" t="str">
        <f t="shared" ref="E580:E643" si="36">"dump:"&amp;Reverse(I580)&amp;"&amp;"&amp;Reverse(J580)</f>
        <v>dump:1315006173&amp;2315006173</v>
      </c>
      <c r="F580" s="3" t="str">
        <f t="shared" si="35"/>
        <v>哑资源设备_577</v>
      </c>
      <c r="G580" s="10" t="s">
        <v>406</v>
      </c>
      <c r="H580" s="3" t="str">
        <f>"检测机架"&amp;INDEX([1]机架!$D:$D,C580+3)&amp;IF(D580&lt;&gt;"","和"&amp;INDEX([1]机架!$D:$D,D580+3),"")&amp;"的数据"</f>
        <v>检测机架阳信幸福三路の机架-7和阳信幸福三路の机架-8的数据</v>
      </c>
      <c r="I580" s="3">
        <f>INDEX([1]机架!$C:$C,C580+3)</f>
        <v>3716005131</v>
      </c>
      <c r="J580" s="3">
        <f>IF(D580&lt;&gt;"",INDEX([1]机架!$C:$C,D580+3),0)</f>
        <v>3716005132</v>
      </c>
    </row>
    <row r="581" spans="1:10" ht="16.5" x14ac:dyDescent="0.2">
      <c r="A581" s="3" t="s">
        <v>393</v>
      </c>
      <c r="B581" s="3">
        <v>578</v>
      </c>
      <c r="C581" s="3">
        <f t="shared" ref="C581:C644" si="37">MOD(B581-1,INT(($N$3+1)/2))*2+1</f>
        <v>1155</v>
      </c>
      <c r="D581" s="3">
        <f t="shared" ref="D581:D644" si="38">IF(C581&lt;$N$3,MOD(B581-1,INT(($N$3+1)/2))*2+2,"")</f>
        <v>1156</v>
      </c>
      <c r="E581" s="3" t="str">
        <f t="shared" si="36"/>
        <v>dump:3315006173&amp;1116006173</v>
      </c>
      <c r="F581" s="3" t="str">
        <f t="shared" ref="F581:F644" si="39">"哑资源设备_"&amp;B581</f>
        <v>哑资源设备_578</v>
      </c>
      <c r="G581" s="10" t="s">
        <v>406</v>
      </c>
      <c r="H581" s="3" t="str">
        <f>"检测机架"&amp;INDEX([1]机架!$D:$D,C581+3)&amp;IF(D581&lt;&gt;"","和"&amp;INDEX([1]机架!$D:$D,D581+3),"")&amp;"的数据"</f>
        <v>检测机架阳信幸福三路の机架-9和惠民南门街の机架-1的数据</v>
      </c>
      <c r="I581" s="3">
        <f>INDEX([1]机架!$C:$C,C581+3)</f>
        <v>3716005133</v>
      </c>
      <c r="J581" s="3">
        <f>IF(D581&lt;&gt;"",INDEX([1]机架!$C:$C,D581+3),0)</f>
        <v>3716006111</v>
      </c>
    </row>
    <row r="582" spans="1:10" ht="16.5" x14ac:dyDescent="0.2">
      <c r="A582" s="3" t="s">
        <v>393</v>
      </c>
      <c r="B582" s="3">
        <v>579</v>
      </c>
      <c r="C582" s="3">
        <f t="shared" si="37"/>
        <v>1157</v>
      </c>
      <c r="D582" s="3">
        <f t="shared" si="38"/>
        <v>1158</v>
      </c>
      <c r="E582" s="3" t="str">
        <f t="shared" si="36"/>
        <v>dump:2116006173&amp;3116006173</v>
      </c>
      <c r="F582" s="3" t="str">
        <f t="shared" si="39"/>
        <v>哑资源设备_579</v>
      </c>
      <c r="G582" s="10" t="s">
        <v>406</v>
      </c>
      <c r="H582" s="3" t="str">
        <f>"检测机架"&amp;INDEX([1]机架!$D:$D,C582+3)&amp;IF(D582&lt;&gt;"","和"&amp;INDEX([1]机架!$D:$D,D582+3),"")&amp;"的数据"</f>
        <v>检测机架惠民南门街の机架-2和惠民南门街の机架-3的数据</v>
      </c>
      <c r="I582" s="3">
        <f>INDEX([1]机架!$C:$C,C582+3)</f>
        <v>3716006112</v>
      </c>
      <c r="J582" s="3">
        <f>IF(D582&lt;&gt;"",INDEX([1]机架!$C:$C,D582+3),0)</f>
        <v>3716006113</v>
      </c>
    </row>
    <row r="583" spans="1:10" ht="16.5" x14ac:dyDescent="0.2">
      <c r="A583" s="3" t="s">
        <v>393</v>
      </c>
      <c r="B583" s="3">
        <v>580</v>
      </c>
      <c r="C583" s="3">
        <f t="shared" si="37"/>
        <v>1159</v>
      </c>
      <c r="D583" s="3">
        <f t="shared" si="38"/>
        <v>1160</v>
      </c>
      <c r="E583" s="3" t="str">
        <f t="shared" si="36"/>
        <v>dump:1216006173&amp;2216006173</v>
      </c>
      <c r="F583" s="3" t="str">
        <f t="shared" si="39"/>
        <v>哑资源设备_580</v>
      </c>
      <c r="G583" s="10" t="s">
        <v>406</v>
      </c>
      <c r="H583" s="3" t="str">
        <f>"检测机架"&amp;INDEX([1]机架!$D:$D,C583+3)&amp;IF(D583&lt;&gt;"","和"&amp;INDEX([1]机架!$D:$D,D583+3),"")&amp;"的数据"</f>
        <v>检测机架惠民南门街の机架-4和惠民南门街の机架-5的数据</v>
      </c>
      <c r="I583" s="3">
        <f>INDEX([1]机架!$C:$C,C583+3)</f>
        <v>3716006121</v>
      </c>
      <c r="J583" s="3">
        <f>IF(D583&lt;&gt;"",INDEX([1]机架!$C:$C,D583+3),0)</f>
        <v>3716006122</v>
      </c>
    </row>
    <row r="584" spans="1:10" ht="16.5" x14ac:dyDescent="0.2">
      <c r="A584" s="3" t="s">
        <v>393</v>
      </c>
      <c r="B584" s="3">
        <v>581</v>
      </c>
      <c r="C584" s="3">
        <f t="shared" si="37"/>
        <v>1161</v>
      </c>
      <c r="D584" s="3">
        <f t="shared" si="38"/>
        <v>1162</v>
      </c>
      <c r="E584" s="3" t="str">
        <f t="shared" si="36"/>
        <v>dump:3216006173&amp;1316006173</v>
      </c>
      <c r="F584" s="3" t="str">
        <f t="shared" si="39"/>
        <v>哑资源设备_581</v>
      </c>
      <c r="G584" s="10" t="s">
        <v>406</v>
      </c>
      <c r="H584" s="3" t="str">
        <f>"检测机架"&amp;INDEX([1]机架!$D:$D,C584+3)&amp;IF(D584&lt;&gt;"","和"&amp;INDEX([1]机架!$D:$D,D584+3),"")&amp;"的数据"</f>
        <v>检测机架惠民南门街の机架-6和惠民南门街の机架-7的数据</v>
      </c>
      <c r="I584" s="3">
        <f>INDEX([1]机架!$C:$C,C584+3)</f>
        <v>3716006123</v>
      </c>
      <c r="J584" s="3">
        <f>IF(D584&lt;&gt;"",INDEX([1]机架!$C:$C,D584+3),0)</f>
        <v>3716006131</v>
      </c>
    </row>
    <row r="585" spans="1:10" ht="16.5" x14ac:dyDescent="0.2">
      <c r="A585" s="3" t="s">
        <v>393</v>
      </c>
      <c r="B585" s="3">
        <v>582</v>
      </c>
      <c r="C585" s="3">
        <f t="shared" si="37"/>
        <v>1163</v>
      </c>
      <c r="D585" s="3">
        <f t="shared" si="38"/>
        <v>1164</v>
      </c>
      <c r="E585" s="3" t="str">
        <f t="shared" si="36"/>
        <v>dump:2316006173&amp;3316006173</v>
      </c>
      <c r="F585" s="3" t="str">
        <f t="shared" si="39"/>
        <v>哑资源设备_582</v>
      </c>
      <c r="G585" s="10" t="s">
        <v>406</v>
      </c>
      <c r="H585" s="3" t="str">
        <f>"检测机架"&amp;INDEX([1]机架!$D:$D,C585+3)&amp;IF(D585&lt;&gt;"","和"&amp;INDEX([1]机架!$D:$D,D585+3),"")&amp;"的数据"</f>
        <v>检测机架惠民南门街の机架-8和惠民南门街の机架-9的数据</v>
      </c>
      <c r="I585" s="3">
        <f>INDEX([1]机架!$C:$C,C585+3)</f>
        <v>3716006132</v>
      </c>
      <c r="J585" s="3">
        <f>IF(D585&lt;&gt;"",INDEX([1]机架!$C:$C,D585+3),0)</f>
        <v>3716006133</v>
      </c>
    </row>
    <row r="586" spans="1:10" ht="16.5" x14ac:dyDescent="0.2">
      <c r="A586" s="3" t="s">
        <v>393</v>
      </c>
      <c r="B586" s="3">
        <v>583</v>
      </c>
      <c r="C586" s="3">
        <f t="shared" si="37"/>
        <v>1165</v>
      </c>
      <c r="D586" s="3">
        <f t="shared" si="38"/>
        <v>1166</v>
      </c>
      <c r="E586" s="3" t="str">
        <f t="shared" si="36"/>
        <v>dump:1117006173&amp;2117006173</v>
      </c>
      <c r="F586" s="3" t="str">
        <f t="shared" si="39"/>
        <v>哑资源设备_583</v>
      </c>
      <c r="G586" s="10" t="s">
        <v>406</v>
      </c>
      <c r="H586" s="3" t="str">
        <f>"检测机架"&amp;INDEX([1]机架!$D:$D,C586+3)&amp;IF(D586&lt;&gt;"","和"&amp;INDEX([1]机架!$D:$D,D586+3),"")&amp;"的数据"</f>
        <v>检测机架惠民姜楼の机架-1和惠民姜楼の机架-2的数据</v>
      </c>
      <c r="I586" s="3">
        <f>INDEX([1]机架!$C:$C,C586+3)</f>
        <v>3716007111</v>
      </c>
      <c r="J586" s="3">
        <f>IF(D586&lt;&gt;"",INDEX([1]机架!$C:$C,D586+3),0)</f>
        <v>3716007112</v>
      </c>
    </row>
    <row r="587" spans="1:10" ht="16.5" x14ac:dyDescent="0.2">
      <c r="A587" s="3" t="s">
        <v>393</v>
      </c>
      <c r="B587" s="3">
        <v>584</v>
      </c>
      <c r="C587" s="3">
        <f t="shared" si="37"/>
        <v>1167</v>
      </c>
      <c r="D587" s="3">
        <f t="shared" si="38"/>
        <v>1168</v>
      </c>
      <c r="E587" s="3" t="str">
        <f t="shared" si="36"/>
        <v>dump:3117006173&amp;1217006173</v>
      </c>
      <c r="F587" s="3" t="str">
        <f t="shared" si="39"/>
        <v>哑资源设备_584</v>
      </c>
      <c r="G587" s="10" t="s">
        <v>406</v>
      </c>
      <c r="H587" s="3" t="str">
        <f>"检测机架"&amp;INDEX([1]机架!$D:$D,C587+3)&amp;IF(D587&lt;&gt;"","和"&amp;INDEX([1]机架!$D:$D,D587+3),"")&amp;"的数据"</f>
        <v>检测机架惠民姜楼の机架-3和惠民姜楼の机架-4的数据</v>
      </c>
      <c r="I587" s="3">
        <f>INDEX([1]机架!$C:$C,C587+3)</f>
        <v>3716007113</v>
      </c>
      <c r="J587" s="3">
        <f>IF(D587&lt;&gt;"",INDEX([1]机架!$C:$C,D587+3),0)</f>
        <v>3716007121</v>
      </c>
    </row>
    <row r="588" spans="1:10" ht="16.5" x14ac:dyDescent="0.2">
      <c r="A588" s="3" t="s">
        <v>393</v>
      </c>
      <c r="B588" s="3">
        <v>585</v>
      </c>
      <c r="C588" s="3">
        <f t="shared" si="37"/>
        <v>1169</v>
      </c>
      <c r="D588" s="3">
        <f t="shared" si="38"/>
        <v>1170</v>
      </c>
      <c r="E588" s="3" t="str">
        <f t="shared" si="36"/>
        <v>dump:2217006173&amp;3217006173</v>
      </c>
      <c r="F588" s="3" t="str">
        <f t="shared" si="39"/>
        <v>哑资源设备_585</v>
      </c>
      <c r="G588" s="10" t="s">
        <v>406</v>
      </c>
      <c r="H588" s="3" t="str">
        <f>"检测机架"&amp;INDEX([1]机架!$D:$D,C588+3)&amp;IF(D588&lt;&gt;"","和"&amp;INDEX([1]机架!$D:$D,D588+3),"")&amp;"的数据"</f>
        <v>检测机架惠民姜楼の机架-5和惠民姜楼の机架-6的数据</v>
      </c>
      <c r="I588" s="3">
        <f>INDEX([1]机架!$C:$C,C588+3)</f>
        <v>3716007122</v>
      </c>
      <c r="J588" s="3">
        <f>IF(D588&lt;&gt;"",INDEX([1]机架!$C:$C,D588+3),0)</f>
        <v>3716007123</v>
      </c>
    </row>
    <row r="589" spans="1:10" ht="16.5" x14ac:dyDescent="0.2">
      <c r="A589" s="3" t="s">
        <v>393</v>
      </c>
      <c r="B589" s="3">
        <v>586</v>
      </c>
      <c r="C589" s="3">
        <f t="shared" si="37"/>
        <v>1171</v>
      </c>
      <c r="D589" s="3">
        <f t="shared" si="38"/>
        <v>1172</v>
      </c>
      <c r="E589" s="3" t="str">
        <f t="shared" si="36"/>
        <v>dump:1317006173&amp;2317006173</v>
      </c>
      <c r="F589" s="3" t="str">
        <f t="shared" si="39"/>
        <v>哑资源设备_586</v>
      </c>
      <c r="G589" s="10" t="s">
        <v>406</v>
      </c>
      <c r="H589" s="3" t="str">
        <f>"检测机架"&amp;INDEX([1]机架!$D:$D,C589+3)&amp;IF(D589&lt;&gt;"","和"&amp;INDEX([1]机架!$D:$D,D589+3),"")&amp;"的数据"</f>
        <v>检测机架惠民姜楼の机架-7和惠民姜楼の机架-8的数据</v>
      </c>
      <c r="I589" s="3">
        <f>INDEX([1]机架!$C:$C,C589+3)</f>
        <v>3716007131</v>
      </c>
      <c r="J589" s="3">
        <f>IF(D589&lt;&gt;"",INDEX([1]机架!$C:$C,D589+3),0)</f>
        <v>3716007132</v>
      </c>
    </row>
    <row r="590" spans="1:10" ht="16.5" x14ac:dyDescent="0.2">
      <c r="A590" s="3" t="s">
        <v>393</v>
      </c>
      <c r="B590" s="3">
        <v>587</v>
      </c>
      <c r="C590" s="3">
        <f t="shared" si="37"/>
        <v>1173</v>
      </c>
      <c r="D590" s="3">
        <f t="shared" si="38"/>
        <v>1174</v>
      </c>
      <c r="E590" s="3" t="str">
        <f t="shared" si="36"/>
        <v>dump:3317006173&amp;1118006173</v>
      </c>
      <c r="F590" s="3" t="str">
        <f t="shared" si="39"/>
        <v>哑资源设备_587</v>
      </c>
      <c r="G590" s="10" t="s">
        <v>406</v>
      </c>
      <c r="H590" s="3" t="str">
        <f>"检测机架"&amp;INDEX([1]机架!$D:$D,C590+3)&amp;IF(D590&lt;&gt;"","和"&amp;INDEX([1]机架!$D:$D,D590+3),"")&amp;"的数据"</f>
        <v>检测机架惠民姜楼の机架-9和邹平老局の机架-1的数据</v>
      </c>
      <c r="I590" s="3">
        <f>INDEX([1]机架!$C:$C,C590+3)</f>
        <v>3716007133</v>
      </c>
      <c r="J590" s="3">
        <f>IF(D590&lt;&gt;"",INDEX([1]机架!$C:$C,D590+3),0)</f>
        <v>3716008111</v>
      </c>
    </row>
    <row r="591" spans="1:10" ht="16.5" x14ac:dyDescent="0.2">
      <c r="A591" s="3" t="s">
        <v>393</v>
      </c>
      <c r="B591" s="3">
        <v>588</v>
      </c>
      <c r="C591" s="3">
        <f t="shared" si="37"/>
        <v>1175</v>
      </c>
      <c r="D591" s="3">
        <f t="shared" si="38"/>
        <v>1176</v>
      </c>
      <c r="E591" s="3" t="str">
        <f t="shared" si="36"/>
        <v>dump:2118006173&amp;3118006173</v>
      </c>
      <c r="F591" s="3" t="str">
        <f t="shared" si="39"/>
        <v>哑资源设备_588</v>
      </c>
      <c r="G591" s="10" t="s">
        <v>406</v>
      </c>
      <c r="H591" s="3" t="str">
        <f>"检测机架"&amp;INDEX([1]机架!$D:$D,C591+3)&amp;IF(D591&lt;&gt;"","和"&amp;INDEX([1]机架!$D:$D,D591+3),"")&amp;"的数据"</f>
        <v>检测机架邹平老局の机架-2和邹平老局の机架-3的数据</v>
      </c>
      <c r="I591" s="3">
        <f>INDEX([1]机架!$C:$C,C591+3)</f>
        <v>3716008112</v>
      </c>
      <c r="J591" s="3">
        <f>IF(D591&lt;&gt;"",INDEX([1]机架!$C:$C,D591+3),0)</f>
        <v>3716008113</v>
      </c>
    </row>
    <row r="592" spans="1:10" ht="16.5" x14ac:dyDescent="0.2">
      <c r="A592" s="3" t="s">
        <v>393</v>
      </c>
      <c r="B592" s="3">
        <v>589</v>
      </c>
      <c r="C592" s="3">
        <f t="shared" si="37"/>
        <v>1177</v>
      </c>
      <c r="D592" s="3">
        <f t="shared" si="38"/>
        <v>1178</v>
      </c>
      <c r="E592" s="3" t="str">
        <f t="shared" si="36"/>
        <v>dump:1218006173&amp;2218006173</v>
      </c>
      <c r="F592" s="3" t="str">
        <f t="shared" si="39"/>
        <v>哑资源设备_589</v>
      </c>
      <c r="G592" s="10" t="s">
        <v>406</v>
      </c>
      <c r="H592" s="3" t="str">
        <f>"检测机架"&amp;INDEX([1]机架!$D:$D,C592+3)&amp;IF(D592&lt;&gt;"","和"&amp;INDEX([1]机架!$D:$D,D592+3),"")&amp;"的数据"</f>
        <v>检测机架邹平老局の机架-4和邹平老局の机架-5的数据</v>
      </c>
      <c r="I592" s="3">
        <f>INDEX([1]机架!$C:$C,C592+3)</f>
        <v>3716008121</v>
      </c>
      <c r="J592" s="3">
        <f>IF(D592&lt;&gt;"",INDEX([1]机架!$C:$C,D592+3),0)</f>
        <v>3716008122</v>
      </c>
    </row>
    <row r="593" spans="1:10" ht="16.5" x14ac:dyDescent="0.2">
      <c r="A593" s="3" t="s">
        <v>393</v>
      </c>
      <c r="B593" s="3">
        <v>590</v>
      </c>
      <c r="C593" s="3">
        <f t="shared" si="37"/>
        <v>1179</v>
      </c>
      <c r="D593" s="3">
        <f t="shared" si="38"/>
        <v>1180</v>
      </c>
      <c r="E593" s="3" t="str">
        <f t="shared" si="36"/>
        <v>dump:3218006173&amp;1318006173</v>
      </c>
      <c r="F593" s="3" t="str">
        <f t="shared" si="39"/>
        <v>哑资源设备_590</v>
      </c>
      <c r="G593" s="10" t="s">
        <v>406</v>
      </c>
      <c r="H593" s="3" t="str">
        <f>"检测机架"&amp;INDEX([1]机架!$D:$D,C593+3)&amp;IF(D593&lt;&gt;"","和"&amp;INDEX([1]机架!$D:$D,D593+3),"")&amp;"的数据"</f>
        <v>检测机架邹平老局の机架-6和邹平老局の机架-7的数据</v>
      </c>
      <c r="I593" s="3">
        <f>INDEX([1]机架!$C:$C,C593+3)</f>
        <v>3716008123</v>
      </c>
      <c r="J593" s="3">
        <f>IF(D593&lt;&gt;"",INDEX([1]机架!$C:$C,D593+3),0)</f>
        <v>3716008131</v>
      </c>
    </row>
    <row r="594" spans="1:10" ht="16.5" x14ac:dyDescent="0.2">
      <c r="A594" s="3" t="s">
        <v>393</v>
      </c>
      <c r="B594" s="3">
        <v>591</v>
      </c>
      <c r="C594" s="3">
        <f t="shared" si="37"/>
        <v>1181</v>
      </c>
      <c r="D594" s="3">
        <f t="shared" si="38"/>
        <v>1182</v>
      </c>
      <c r="E594" s="3" t="str">
        <f t="shared" si="36"/>
        <v>dump:2318006173&amp;3318006173</v>
      </c>
      <c r="F594" s="3" t="str">
        <f t="shared" si="39"/>
        <v>哑资源设备_591</v>
      </c>
      <c r="G594" s="10" t="s">
        <v>406</v>
      </c>
      <c r="H594" s="3" t="str">
        <f>"检测机架"&amp;INDEX([1]机架!$D:$D,C594+3)&amp;IF(D594&lt;&gt;"","和"&amp;INDEX([1]机架!$D:$D,D594+3),"")&amp;"的数据"</f>
        <v>检测机架邹平老局の机架-8和邹平老局の机架-9的数据</v>
      </c>
      <c r="I594" s="3">
        <f>INDEX([1]机架!$C:$C,C594+3)</f>
        <v>3716008132</v>
      </c>
      <c r="J594" s="3">
        <f>IF(D594&lt;&gt;"",INDEX([1]机架!$C:$C,D594+3),0)</f>
        <v>3716008133</v>
      </c>
    </row>
    <row r="595" spans="1:10" ht="16.5" x14ac:dyDescent="0.2">
      <c r="A595" s="3" t="s">
        <v>393</v>
      </c>
      <c r="B595" s="3">
        <v>592</v>
      </c>
      <c r="C595" s="3">
        <f t="shared" si="37"/>
        <v>1183</v>
      </c>
      <c r="D595" s="3">
        <f t="shared" si="38"/>
        <v>1184</v>
      </c>
      <c r="E595" s="3" t="str">
        <f t="shared" si="36"/>
        <v>dump:1119006173&amp;2119006173</v>
      </c>
      <c r="F595" s="3" t="str">
        <f t="shared" si="39"/>
        <v>哑资源设备_592</v>
      </c>
      <c r="G595" s="10" t="s">
        <v>406</v>
      </c>
      <c r="H595" s="3" t="str">
        <f>"检测机架"&amp;INDEX([1]机架!$D:$D,C595+3)&amp;IF(D595&lt;&gt;"","和"&amp;INDEX([1]机架!$D:$D,D595+3),"")&amp;"的数据"</f>
        <v>检测机架博兴安柴の机架-1和博兴安柴の机架-2的数据</v>
      </c>
      <c r="I595" s="3">
        <f>INDEX([1]机架!$C:$C,C595+3)</f>
        <v>3716009111</v>
      </c>
      <c r="J595" s="3">
        <f>IF(D595&lt;&gt;"",INDEX([1]机架!$C:$C,D595+3),0)</f>
        <v>3716009112</v>
      </c>
    </row>
    <row r="596" spans="1:10" ht="16.5" x14ac:dyDescent="0.2">
      <c r="A596" s="3" t="s">
        <v>393</v>
      </c>
      <c r="B596" s="3">
        <v>593</v>
      </c>
      <c r="C596" s="3">
        <f t="shared" si="37"/>
        <v>1185</v>
      </c>
      <c r="D596" s="3">
        <f t="shared" si="38"/>
        <v>1186</v>
      </c>
      <c r="E596" s="3" t="str">
        <f t="shared" si="36"/>
        <v>dump:3119006173&amp;1219006173</v>
      </c>
      <c r="F596" s="3" t="str">
        <f t="shared" si="39"/>
        <v>哑资源设备_593</v>
      </c>
      <c r="G596" s="10" t="s">
        <v>406</v>
      </c>
      <c r="H596" s="3" t="str">
        <f>"检测机架"&amp;INDEX([1]机架!$D:$D,C596+3)&amp;IF(D596&lt;&gt;"","和"&amp;INDEX([1]机架!$D:$D,D596+3),"")&amp;"的数据"</f>
        <v>检测机架博兴安柴の机架-3和博兴安柴の机架-4的数据</v>
      </c>
      <c r="I596" s="3">
        <f>INDEX([1]机架!$C:$C,C596+3)</f>
        <v>3716009113</v>
      </c>
      <c r="J596" s="3">
        <f>IF(D596&lt;&gt;"",INDEX([1]机架!$C:$C,D596+3),0)</f>
        <v>3716009121</v>
      </c>
    </row>
    <row r="597" spans="1:10" ht="16.5" x14ac:dyDescent="0.2">
      <c r="A597" s="3" t="s">
        <v>393</v>
      </c>
      <c r="B597" s="3">
        <v>594</v>
      </c>
      <c r="C597" s="3">
        <f t="shared" si="37"/>
        <v>1187</v>
      </c>
      <c r="D597" s="3">
        <f t="shared" si="38"/>
        <v>1188</v>
      </c>
      <c r="E597" s="3" t="str">
        <f t="shared" si="36"/>
        <v>dump:2219006173&amp;3219006173</v>
      </c>
      <c r="F597" s="3" t="str">
        <f t="shared" si="39"/>
        <v>哑资源设备_594</v>
      </c>
      <c r="G597" s="10" t="s">
        <v>406</v>
      </c>
      <c r="H597" s="3" t="str">
        <f>"检测机架"&amp;INDEX([1]机架!$D:$D,C597+3)&amp;IF(D597&lt;&gt;"","和"&amp;INDEX([1]机架!$D:$D,D597+3),"")&amp;"的数据"</f>
        <v>检测机架博兴安柴の机架-5和博兴安柴の机架-6的数据</v>
      </c>
      <c r="I597" s="3">
        <f>INDEX([1]机架!$C:$C,C597+3)</f>
        <v>3716009122</v>
      </c>
      <c r="J597" s="3">
        <f>IF(D597&lt;&gt;"",INDEX([1]机架!$C:$C,D597+3),0)</f>
        <v>3716009123</v>
      </c>
    </row>
    <row r="598" spans="1:10" ht="16.5" x14ac:dyDescent="0.2">
      <c r="A598" s="3" t="s">
        <v>393</v>
      </c>
      <c r="B598" s="3">
        <v>595</v>
      </c>
      <c r="C598" s="3">
        <f t="shared" si="37"/>
        <v>1189</v>
      </c>
      <c r="D598" s="3">
        <f t="shared" si="38"/>
        <v>1190</v>
      </c>
      <c r="E598" s="3" t="str">
        <f t="shared" si="36"/>
        <v>dump:1319006173&amp;2319006173</v>
      </c>
      <c r="F598" s="3" t="str">
        <f t="shared" si="39"/>
        <v>哑资源设备_595</v>
      </c>
      <c r="G598" s="10" t="s">
        <v>406</v>
      </c>
      <c r="H598" s="3" t="str">
        <f>"检测机架"&amp;INDEX([1]机架!$D:$D,C598+3)&amp;IF(D598&lt;&gt;"","和"&amp;INDEX([1]机架!$D:$D,D598+3),"")&amp;"的数据"</f>
        <v>检测机架博兴安柴の机架-7和博兴安柴の机架-8的数据</v>
      </c>
      <c r="I598" s="3">
        <f>INDEX([1]机架!$C:$C,C598+3)</f>
        <v>3716009131</v>
      </c>
      <c r="J598" s="3">
        <f>IF(D598&lt;&gt;"",INDEX([1]机架!$C:$C,D598+3),0)</f>
        <v>3716009132</v>
      </c>
    </row>
    <row r="599" spans="1:10" ht="16.5" x14ac:dyDescent="0.2">
      <c r="A599" s="3" t="s">
        <v>393</v>
      </c>
      <c r="B599" s="3">
        <v>596</v>
      </c>
      <c r="C599" s="3">
        <f t="shared" si="37"/>
        <v>1191</v>
      </c>
      <c r="D599" s="3">
        <f t="shared" si="38"/>
        <v>1192</v>
      </c>
      <c r="E599" s="3" t="str">
        <f t="shared" si="36"/>
        <v>dump:3319006173&amp;1110106173</v>
      </c>
      <c r="F599" s="3" t="str">
        <f t="shared" si="39"/>
        <v>哑资源设备_596</v>
      </c>
      <c r="G599" s="10" t="s">
        <v>406</v>
      </c>
      <c r="H599" s="3" t="str">
        <f>"检测机架"&amp;INDEX([1]机架!$D:$D,C599+3)&amp;IF(D599&lt;&gt;"","和"&amp;INDEX([1]机架!$D:$D,D599+3),"")&amp;"的数据"</f>
        <v>检测机架博兴安柴の机架-9和博兴老局の机架-1的数据</v>
      </c>
      <c r="I599" s="3">
        <f>INDEX([1]机架!$C:$C,C599+3)</f>
        <v>3716009133</v>
      </c>
      <c r="J599" s="3">
        <f>IF(D599&lt;&gt;"",INDEX([1]机架!$C:$C,D599+3),0)</f>
        <v>3716010111</v>
      </c>
    </row>
    <row r="600" spans="1:10" ht="16.5" x14ac:dyDescent="0.2">
      <c r="A600" s="3" t="s">
        <v>393</v>
      </c>
      <c r="B600" s="3">
        <v>597</v>
      </c>
      <c r="C600" s="3">
        <f t="shared" si="37"/>
        <v>1193</v>
      </c>
      <c r="D600" s="3">
        <f t="shared" si="38"/>
        <v>1194</v>
      </c>
      <c r="E600" s="3" t="str">
        <f t="shared" si="36"/>
        <v>dump:2110106173&amp;3110106173</v>
      </c>
      <c r="F600" s="3" t="str">
        <f t="shared" si="39"/>
        <v>哑资源设备_597</v>
      </c>
      <c r="G600" s="10" t="s">
        <v>406</v>
      </c>
      <c r="H600" s="3" t="str">
        <f>"检测机架"&amp;INDEX([1]机架!$D:$D,C600+3)&amp;IF(D600&lt;&gt;"","和"&amp;INDEX([1]机架!$D:$D,D600+3),"")&amp;"的数据"</f>
        <v>检测机架博兴老局の机架-2和博兴老局の机架-3的数据</v>
      </c>
      <c r="I600" s="3">
        <f>INDEX([1]机架!$C:$C,C600+3)</f>
        <v>3716010112</v>
      </c>
      <c r="J600" s="3">
        <f>IF(D600&lt;&gt;"",INDEX([1]机架!$C:$C,D600+3),0)</f>
        <v>3716010113</v>
      </c>
    </row>
    <row r="601" spans="1:10" ht="16.5" x14ac:dyDescent="0.2">
      <c r="A601" s="3" t="s">
        <v>393</v>
      </c>
      <c r="B601" s="3">
        <v>598</v>
      </c>
      <c r="C601" s="3">
        <f t="shared" si="37"/>
        <v>1195</v>
      </c>
      <c r="D601" s="3">
        <f t="shared" si="38"/>
        <v>1196</v>
      </c>
      <c r="E601" s="3" t="str">
        <f t="shared" si="36"/>
        <v>dump:1210106173&amp;2210106173</v>
      </c>
      <c r="F601" s="3" t="str">
        <f t="shared" si="39"/>
        <v>哑资源设备_598</v>
      </c>
      <c r="G601" s="10" t="s">
        <v>406</v>
      </c>
      <c r="H601" s="3" t="str">
        <f>"检测机架"&amp;INDEX([1]机架!$D:$D,C601+3)&amp;IF(D601&lt;&gt;"","和"&amp;INDEX([1]机架!$D:$D,D601+3),"")&amp;"的数据"</f>
        <v>检测机架博兴老局の机架-4和博兴老局の机架-5的数据</v>
      </c>
      <c r="I601" s="3">
        <f>INDEX([1]机架!$C:$C,C601+3)</f>
        <v>3716010121</v>
      </c>
      <c r="J601" s="3">
        <f>IF(D601&lt;&gt;"",INDEX([1]机架!$C:$C,D601+3),0)</f>
        <v>3716010122</v>
      </c>
    </row>
    <row r="602" spans="1:10" ht="16.5" x14ac:dyDescent="0.2">
      <c r="A602" s="3" t="s">
        <v>393</v>
      </c>
      <c r="B602" s="3">
        <v>599</v>
      </c>
      <c r="C602" s="3">
        <f t="shared" si="37"/>
        <v>1197</v>
      </c>
      <c r="D602" s="3">
        <f t="shared" si="38"/>
        <v>1198</v>
      </c>
      <c r="E602" s="3" t="str">
        <f t="shared" si="36"/>
        <v>dump:3210106173&amp;1310106173</v>
      </c>
      <c r="F602" s="3" t="str">
        <f t="shared" si="39"/>
        <v>哑资源设备_599</v>
      </c>
      <c r="G602" s="10" t="s">
        <v>406</v>
      </c>
      <c r="H602" s="3" t="str">
        <f>"检测机架"&amp;INDEX([1]机架!$D:$D,C602+3)&amp;IF(D602&lt;&gt;"","和"&amp;INDEX([1]机架!$D:$D,D602+3),"")&amp;"的数据"</f>
        <v>检测机架博兴老局の机架-6和博兴老局の机架-7的数据</v>
      </c>
      <c r="I602" s="3">
        <f>INDEX([1]机架!$C:$C,C602+3)</f>
        <v>3716010123</v>
      </c>
      <c r="J602" s="3">
        <f>IF(D602&lt;&gt;"",INDEX([1]机架!$C:$C,D602+3),0)</f>
        <v>3716010131</v>
      </c>
    </row>
    <row r="603" spans="1:10" ht="16.5" x14ac:dyDescent="0.2">
      <c r="A603" s="3" t="s">
        <v>393</v>
      </c>
      <c r="B603" s="3">
        <v>600</v>
      </c>
      <c r="C603" s="3">
        <f t="shared" si="37"/>
        <v>1199</v>
      </c>
      <c r="D603" s="3">
        <f t="shared" si="38"/>
        <v>1200</v>
      </c>
      <c r="E603" s="3" t="str">
        <f t="shared" si="36"/>
        <v>dump:2310106173&amp;3310106173</v>
      </c>
      <c r="F603" s="3" t="str">
        <f t="shared" si="39"/>
        <v>哑资源设备_600</v>
      </c>
      <c r="G603" s="10" t="s">
        <v>406</v>
      </c>
      <c r="H603" s="3" t="str">
        <f>"检测机架"&amp;INDEX([1]机架!$D:$D,C603+3)&amp;IF(D603&lt;&gt;"","和"&amp;INDEX([1]机架!$D:$D,D603+3),"")&amp;"的数据"</f>
        <v>检测机架博兴老局の机架-8和博兴老局の机架-9的数据</v>
      </c>
      <c r="I603" s="3">
        <f>INDEX([1]机架!$C:$C,C603+3)</f>
        <v>3716010132</v>
      </c>
      <c r="J603" s="3">
        <f>IF(D603&lt;&gt;"",INDEX([1]机架!$C:$C,D603+3),0)</f>
        <v>3716010133</v>
      </c>
    </row>
    <row r="604" spans="1:10" ht="16.5" x14ac:dyDescent="0.2">
      <c r="A604" s="3" t="s">
        <v>393</v>
      </c>
      <c r="B604" s="3">
        <v>601</v>
      </c>
      <c r="C604" s="3">
        <f t="shared" si="37"/>
        <v>1201</v>
      </c>
      <c r="D604" s="3">
        <f t="shared" si="38"/>
        <v>1202</v>
      </c>
      <c r="E604" s="3" t="str">
        <f t="shared" si="36"/>
        <v>dump:1111106173&amp;2111106173</v>
      </c>
      <c r="F604" s="3" t="str">
        <f t="shared" si="39"/>
        <v>哑资源设备_601</v>
      </c>
      <c r="G604" s="10" t="s">
        <v>406</v>
      </c>
      <c r="H604" s="3" t="str">
        <f>"检测机架"&amp;INDEX([1]机架!$D:$D,C604+3)&amp;IF(D604&lt;&gt;"","和"&amp;INDEX([1]机架!$D:$D,D604+3),"")&amp;"的数据"</f>
        <v>检测机架滨小营镇の机架-1和滨小营镇の机架-2的数据</v>
      </c>
      <c r="I604" s="3">
        <f>INDEX([1]机架!$C:$C,C604+3)</f>
        <v>3716011111</v>
      </c>
      <c r="J604" s="3">
        <f>IF(D604&lt;&gt;"",INDEX([1]机架!$C:$C,D604+3),0)</f>
        <v>3716011112</v>
      </c>
    </row>
    <row r="605" spans="1:10" ht="16.5" x14ac:dyDescent="0.2">
      <c r="A605" s="3" t="s">
        <v>393</v>
      </c>
      <c r="B605" s="3">
        <v>602</v>
      </c>
      <c r="C605" s="3">
        <f t="shared" si="37"/>
        <v>1203</v>
      </c>
      <c r="D605" s="3">
        <f t="shared" si="38"/>
        <v>1204</v>
      </c>
      <c r="E605" s="3" t="str">
        <f t="shared" si="36"/>
        <v>dump:3111106173&amp;1211106173</v>
      </c>
      <c r="F605" s="3" t="str">
        <f t="shared" si="39"/>
        <v>哑资源设备_602</v>
      </c>
      <c r="G605" s="10" t="s">
        <v>406</v>
      </c>
      <c r="H605" s="3" t="str">
        <f>"检测机架"&amp;INDEX([1]机架!$D:$D,C605+3)&amp;IF(D605&lt;&gt;"","和"&amp;INDEX([1]机架!$D:$D,D605+3),"")&amp;"的数据"</f>
        <v>检测机架滨小营镇の机架-3和滨小营镇の机架-4的数据</v>
      </c>
      <c r="I605" s="3">
        <f>INDEX([1]机架!$C:$C,C605+3)</f>
        <v>3716011113</v>
      </c>
      <c r="J605" s="3">
        <f>IF(D605&lt;&gt;"",INDEX([1]机架!$C:$C,D605+3),0)</f>
        <v>3716011121</v>
      </c>
    </row>
    <row r="606" spans="1:10" ht="16.5" x14ac:dyDescent="0.2">
      <c r="A606" s="3" t="s">
        <v>393</v>
      </c>
      <c r="B606" s="3">
        <v>603</v>
      </c>
      <c r="C606" s="3">
        <f t="shared" si="37"/>
        <v>1205</v>
      </c>
      <c r="D606" s="3">
        <f t="shared" si="38"/>
        <v>1206</v>
      </c>
      <c r="E606" s="3" t="str">
        <f t="shared" si="36"/>
        <v>dump:2211106173&amp;3211106173</v>
      </c>
      <c r="F606" s="3" t="str">
        <f t="shared" si="39"/>
        <v>哑资源设备_603</v>
      </c>
      <c r="G606" s="10" t="s">
        <v>406</v>
      </c>
      <c r="H606" s="3" t="str">
        <f>"检测机架"&amp;INDEX([1]机架!$D:$D,C606+3)&amp;IF(D606&lt;&gt;"","和"&amp;INDEX([1]机架!$D:$D,D606+3),"")&amp;"的数据"</f>
        <v>检测机架滨小营镇の机架-5和滨小营镇の机架-6的数据</v>
      </c>
      <c r="I606" s="3">
        <f>INDEX([1]机架!$C:$C,C606+3)</f>
        <v>3716011122</v>
      </c>
      <c r="J606" s="3">
        <f>IF(D606&lt;&gt;"",INDEX([1]机架!$C:$C,D606+3),0)</f>
        <v>3716011123</v>
      </c>
    </row>
    <row r="607" spans="1:10" ht="16.5" x14ac:dyDescent="0.2">
      <c r="A607" s="3" t="s">
        <v>393</v>
      </c>
      <c r="B607" s="3">
        <v>604</v>
      </c>
      <c r="C607" s="3">
        <f t="shared" si="37"/>
        <v>1207</v>
      </c>
      <c r="D607" s="3">
        <f t="shared" si="38"/>
        <v>1208</v>
      </c>
      <c r="E607" s="3" t="str">
        <f t="shared" si="36"/>
        <v>dump:1311106173&amp;2311106173</v>
      </c>
      <c r="F607" s="3" t="str">
        <f t="shared" si="39"/>
        <v>哑资源设备_604</v>
      </c>
      <c r="G607" s="10" t="s">
        <v>406</v>
      </c>
      <c r="H607" s="3" t="str">
        <f>"检测机架"&amp;INDEX([1]机架!$D:$D,C607+3)&amp;IF(D607&lt;&gt;"","和"&amp;INDEX([1]机架!$D:$D,D607+3),"")&amp;"的数据"</f>
        <v>检测机架滨小营镇の机架-7和滨小营镇の机架-8的数据</v>
      </c>
      <c r="I607" s="3">
        <f>INDEX([1]机架!$C:$C,C607+3)</f>
        <v>3716011131</v>
      </c>
      <c r="J607" s="3">
        <f>IF(D607&lt;&gt;"",INDEX([1]机架!$C:$C,D607+3),0)</f>
        <v>3716011132</v>
      </c>
    </row>
    <row r="608" spans="1:10" ht="16.5" x14ac:dyDescent="0.2">
      <c r="A608" s="3" t="s">
        <v>393</v>
      </c>
      <c r="B608" s="3">
        <v>605</v>
      </c>
      <c r="C608" s="3">
        <f t="shared" si="37"/>
        <v>1209</v>
      </c>
      <c r="D608" s="3">
        <f t="shared" si="38"/>
        <v>1210</v>
      </c>
      <c r="E608" s="3" t="str">
        <f t="shared" si="36"/>
        <v>dump:3311106173&amp;1111004173</v>
      </c>
      <c r="F608" s="3" t="str">
        <f t="shared" si="39"/>
        <v>哑资源设备_605</v>
      </c>
      <c r="G608" s="10" t="s">
        <v>406</v>
      </c>
      <c r="H608" s="3" t="str">
        <f>"检测机架"&amp;INDEX([1]机架!$D:$D,C608+3)&amp;IF(D608&lt;&gt;"","和"&amp;INDEX([1]机架!$D:$D,D608+3),"")&amp;"的数据"</f>
        <v>检测机架滨小营镇の机架-9和德州共青团路の机架-1的数据</v>
      </c>
      <c r="I608" s="3">
        <f>INDEX([1]机架!$C:$C,C608+3)</f>
        <v>3716011133</v>
      </c>
      <c r="J608" s="3">
        <f>IF(D608&lt;&gt;"",INDEX([1]机架!$C:$C,D608+3),0)</f>
        <v>3714001111</v>
      </c>
    </row>
    <row r="609" spans="1:10" ht="16.5" x14ac:dyDescent="0.2">
      <c r="A609" s="3" t="s">
        <v>393</v>
      </c>
      <c r="B609" s="3">
        <v>606</v>
      </c>
      <c r="C609" s="3">
        <f t="shared" si="37"/>
        <v>1211</v>
      </c>
      <c r="D609" s="3">
        <f t="shared" si="38"/>
        <v>1212</v>
      </c>
      <c r="E609" s="3" t="str">
        <f t="shared" si="36"/>
        <v>dump:2111004173&amp;3111004173</v>
      </c>
      <c r="F609" s="3" t="str">
        <f t="shared" si="39"/>
        <v>哑资源设备_606</v>
      </c>
      <c r="G609" s="10" t="s">
        <v>406</v>
      </c>
      <c r="H609" s="3" t="str">
        <f>"检测机架"&amp;INDEX([1]机架!$D:$D,C609+3)&amp;IF(D609&lt;&gt;"","和"&amp;INDEX([1]机架!$D:$D,D609+3),"")&amp;"的数据"</f>
        <v>检测机架德州共青团路の机架-2和德州共青团路の机架-3的数据</v>
      </c>
      <c r="I609" s="3">
        <f>INDEX([1]机架!$C:$C,C609+3)</f>
        <v>3714001112</v>
      </c>
      <c r="J609" s="3">
        <f>IF(D609&lt;&gt;"",INDEX([1]机架!$C:$C,D609+3),0)</f>
        <v>3714001113</v>
      </c>
    </row>
    <row r="610" spans="1:10" ht="16.5" x14ac:dyDescent="0.2">
      <c r="A610" s="3" t="s">
        <v>393</v>
      </c>
      <c r="B610" s="3">
        <v>607</v>
      </c>
      <c r="C610" s="3">
        <f t="shared" si="37"/>
        <v>1213</v>
      </c>
      <c r="D610" s="3">
        <f t="shared" si="38"/>
        <v>1214</v>
      </c>
      <c r="E610" s="3" t="str">
        <f t="shared" si="36"/>
        <v>dump:1211004173&amp;2211004173</v>
      </c>
      <c r="F610" s="3" t="str">
        <f t="shared" si="39"/>
        <v>哑资源设备_607</v>
      </c>
      <c r="G610" s="10" t="s">
        <v>406</v>
      </c>
      <c r="H610" s="3" t="str">
        <f>"检测机架"&amp;INDEX([1]机架!$D:$D,C610+3)&amp;IF(D610&lt;&gt;"","和"&amp;INDEX([1]机架!$D:$D,D610+3),"")&amp;"的数据"</f>
        <v>检测机架德州共青团路の机架-4和德州共青团路の机架-5的数据</v>
      </c>
      <c r="I610" s="3">
        <f>INDEX([1]机架!$C:$C,C610+3)</f>
        <v>3714001121</v>
      </c>
      <c r="J610" s="3">
        <f>IF(D610&lt;&gt;"",INDEX([1]机架!$C:$C,D610+3),0)</f>
        <v>3714001122</v>
      </c>
    </row>
    <row r="611" spans="1:10" ht="16.5" x14ac:dyDescent="0.2">
      <c r="A611" s="3" t="s">
        <v>393</v>
      </c>
      <c r="B611" s="3">
        <v>608</v>
      </c>
      <c r="C611" s="3">
        <f t="shared" si="37"/>
        <v>1215</v>
      </c>
      <c r="D611" s="3">
        <f t="shared" si="38"/>
        <v>1216</v>
      </c>
      <c r="E611" s="3" t="str">
        <f t="shared" si="36"/>
        <v>dump:3211004173&amp;1311004173</v>
      </c>
      <c r="F611" s="3" t="str">
        <f t="shared" si="39"/>
        <v>哑资源设备_608</v>
      </c>
      <c r="G611" s="10" t="s">
        <v>406</v>
      </c>
      <c r="H611" s="3" t="str">
        <f>"检测机架"&amp;INDEX([1]机架!$D:$D,C611+3)&amp;IF(D611&lt;&gt;"","和"&amp;INDEX([1]机架!$D:$D,D611+3),"")&amp;"的数据"</f>
        <v>检测机架德州共青团路の机架-6和德州共青团路の机架-7的数据</v>
      </c>
      <c r="I611" s="3">
        <f>INDEX([1]机架!$C:$C,C611+3)</f>
        <v>3714001123</v>
      </c>
      <c r="J611" s="3">
        <f>IF(D611&lt;&gt;"",INDEX([1]机架!$C:$C,D611+3),0)</f>
        <v>3714001131</v>
      </c>
    </row>
    <row r="612" spans="1:10" ht="16.5" x14ac:dyDescent="0.2">
      <c r="A612" s="3" t="s">
        <v>393</v>
      </c>
      <c r="B612" s="3">
        <v>609</v>
      </c>
      <c r="C612" s="3">
        <f t="shared" si="37"/>
        <v>1217</v>
      </c>
      <c r="D612" s="3">
        <f t="shared" si="38"/>
        <v>1218</v>
      </c>
      <c r="E612" s="3" t="str">
        <f t="shared" si="36"/>
        <v>dump:2311004173&amp;3311004173</v>
      </c>
      <c r="F612" s="3" t="str">
        <f t="shared" si="39"/>
        <v>哑资源设备_609</v>
      </c>
      <c r="G612" s="10" t="s">
        <v>406</v>
      </c>
      <c r="H612" s="3" t="str">
        <f>"检测机架"&amp;INDEX([1]机架!$D:$D,C612+3)&amp;IF(D612&lt;&gt;"","和"&amp;INDEX([1]机架!$D:$D,D612+3),"")&amp;"的数据"</f>
        <v>检测机架德州共青团路の机架-8和德州共青团路の机架-9的数据</v>
      </c>
      <c r="I612" s="3">
        <f>INDEX([1]机架!$C:$C,C612+3)</f>
        <v>3714001132</v>
      </c>
      <c r="J612" s="3">
        <f>IF(D612&lt;&gt;"",INDEX([1]机架!$C:$C,D612+3),0)</f>
        <v>3714001133</v>
      </c>
    </row>
    <row r="613" spans="1:10" ht="16.5" x14ac:dyDescent="0.2">
      <c r="A613" s="3" t="s">
        <v>393</v>
      </c>
      <c r="B613" s="3">
        <v>610</v>
      </c>
      <c r="C613" s="3">
        <f t="shared" si="37"/>
        <v>1219</v>
      </c>
      <c r="D613" s="3">
        <f t="shared" si="38"/>
        <v>1220</v>
      </c>
      <c r="E613" s="3" t="str">
        <f t="shared" si="36"/>
        <v>dump:1121004173&amp;2121004173</v>
      </c>
      <c r="F613" s="3" t="str">
        <f t="shared" si="39"/>
        <v>哑资源设备_610</v>
      </c>
      <c r="G613" s="10" t="s">
        <v>406</v>
      </c>
      <c r="H613" s="3" t="str">
        <f>"检测机架"&amp;INDEX([1]机架!$D:$D,C613+3)&amp;IF(D613&lt;&gt;"","和"&amp;INDEX([1]机架!$D:$D,D613+3),"")&amp;"的数据"</f>
        <v>检测机架德州共青团路の机架-10和德州共青团路の机架-11的数据</v>
      </c>
      <c r="I613" s="3">
        <f>INDEX([1]机架!$C:$C,C613+3)</f>
        <v>3714001211</v>
      </c>
      <c r="J613" s="3">
        <f>IF(D613&lt;&gt;"",INDEX([1]机架!$C:$C,D613+3),0)</f>
        <v>3714001212</v>
      </c>
    </row>
    <row r="614" spans="1:10" ht="16.5" x14ac:dyDescent="0.2">
      <c r="A614" s="3" t="s">
        <v>393</v>
      </c>
      <c r="B614" s="3">
        <v>611</v>
      </c>
      <c r="C614" s="3">
        <f t="shared" si="37"/>
        <v>1221</v>
      </c>
      <c r="D614" s="3">
        <f t="shared" si="38"/>
        <v>1222</v>
      </c>
      <c r="E614" s="3" t="str">
        <f t="shared" si="36"/>
        <v>dump:3121004173&amp;1221004173</v>
      </c>
      <c r="F614" s="3" t="str">
        <f t="shared" si="39"/>
        <v>哑资源设备_611</v>
      </c>
      <c r="G614" s="10" t="s">
        <v>406</v>
      </c>
      <c r="H614" s="3" t="str">
        <f>"检测机架"&amp;INDEX([1]机架!$D:$D,C614+3)&amp;IF(D614&lt;&gt;"","和"&amp;INDEX([1]机架!$D:$D,D614+3),"")&amp;"的数据"</f>
        <v>检测机架德州共青团路の机架-12和德州共青团路の机架-13的数据</v>
      </c>
      <c r="I614" s="3">
        <f>INDEX([1]机架!$C:$C,C614+3)</f>
        <v>3714001213</v>
      </c>
      <c r="J614" s="3">
        <f>IF(D614&lt;&gt;"",INDEX([1]机架!$C:$C,D614+3),0)</f>
        <v>3714001221</v>
      </c>
    </row>
    <row r="615" spans="1:10" ht="16.5" x14ac:dyDescent="0.2">
      <c r="A615" s="3" t="s">
        <v>393</v>
      </c>
      <c r="B615" s="3">
        <v>612</v>
      </c>
      <c r="C615" s="3">
        <f t="shared" si="37"/>
        <v>1223</v>
      </c>
      <c r="D615" s="3">
        <f t="shared" si="38"/>
        <v>1224</v>
      </c>
      <c r="E615" s="3" t="str">
        <f t="shared" si="36"/>
        <v>dump:2221004173&amp;3221004173</v>
      </c>
      <c r="F615" s="3" t="str">
        <f t="shared" si="39"/>
        <v>哑资源设备_612</v>
      </c>
      <c r="G615" s="10" t="s">
        <v>406</v>
      </c>
      <c r="H615" s="3" t="str">
        <f>"检测机架"&amp;INDEX([1]机架!$D:$D,C615+3)&amp;IF(D615&lt;&gt;"","和"&amp;INDEX([1]机架!$D:$D,D615+3),"")&amp;"的数据"</f>
        <v>检测机架德州共青团路の机架-14和德州共青团路の机架-15的数据</v>
      </c>
      <c r="I615" s="3">
        <f>INDEX([1]机架!$C:$C,C615+3)</f>
        <v>3714001222</v>
      </c>
      <c r="J615" s="3">
        <f>IF(D615&lt;&gt;"",INDEX([1]机架!$C:$C,D615+3),0)</f>
        <v>3714001223</v>
      </c>
    </row>
    <row r="616" spans="1:10" ht="16.5" x14ac:dyDescent="0.2">
      <c r="A616" s="3" t="s">
        <v>393</v>
      </c>
      <c r="B616" s="3">
        <v>613</v>
      </c>
      <c r="C616" s="3">
        <f t="shared" si="37"/>
        <v>1225</v>
      </c>
      <c r="D616" s="3">
        <f t="shared" si="38"/>
        <v>1226</v>
      </c>
      <c r="E616" s="3" t="str">
        <f t="shared" si="36"/>
        <v>dump:1321004173&amp;2321004173</v>
      </c>
      <c r="F616" s="3" t="str">
        <f t="shared" si="39"/>
        <v>哑资源设备_613</v>
      </c>
      <c r="G616" s="10" t="s">
        <v>406</v>
      </c>
      <c r="H616" s="3" t="str">
        <f>"检测机架"&amp;INDEX([1]机架!$D:$D,C616+3)&amp;IF(D616&lt;&gt;"","和"&amp;INDEX([1]机架!$D:$D,D616+3),"")&amp;"的数据"</f>
        <v>检测机架德州共青团路の机架-16和德州共青团路の机架-17的数据</v>
      </c>
      <c r="I616" s="3">
        <f>INDEX([1]机架!$C:$C,C616+3)</f>
        <v>3714001231</v>
      </c>
      <c r="J616" s="3">
        <f>IF(D616&lt;&gt;"",INDEX([1]机架!$C:$C,D616+3),0)</f>
        <v>3714001232</v>
      </c>
    </row>
    <row r="617" spans="1:10" ht="16.5" x14ac:dyDescent="0.2">
      <c r="A617" s="3" t="s">
        <v>393</v>
      </c>
      <c r="B617" s="3">
        <v>614</v>
      </c>
      <c r="C617" s="3">
        <f t="shared" si="37"/>
        <v>1227</v>
      </c>
      <c r="D617" s="3">
        <f t="shared" si="38"/>
        <v>1228</v>
      </c>
      <c r="E617" s="3" t="str">
        <f t="shared" si="36"/>
        <v>dump:3321004173&amp;1112004173</v>
      </c>
      <c r="F617" s="3" t="str">
        <f t="shared" si="39"/>
        <v>哑资源设备_614</v>
      </c>
      <c r="G617" s="10" t="s">
        <v>406</v>
      </c>
      <c r="H617" s="3" t="str">
        <f>"检测机架"&amp;INDEX([1]机架!$D:$D,C617+3)&amp;IF(D617&lt;&gt;"","和"&amp;INDEX([1]机架!$D:$D,D617+3),"")&amp;"的数据"</f>
        <v>检测机架德州共青团路の机架-18和德州湖滨南路の机架-1的数据</v>
      </c>
      <c r="I617" s="3">
        <f>INDEX([1]机架!$C:$C,C617+3)</f>
        <v>3714001233</v>
      </c>
      <c r="J617" s="3">
        <f>IF(D617&lt;&gt;"",INDEX([1]机架!$C:$C,D617+3),0)</f>
        <v>3714002111</v>
      </c>
    </row>
    <row r="618" spans="1:10" ht="16.5" x14ac:dyDescent="0.2">
      <c r="A618" s="3" t="s">
        <v>393</v>
      </c>
      <c r="B618" s="3">
        <v>615</v>
      </c>
      <c r="C618" s="3">
        <f t="shared" si="37"/>
        <v>1229</v>
      </c>
      <c r="D618" s="3">
        <f t="shared" si="38"/>
        <v>1230</v>
      </c>
      <c r="E618" s="3" t="str">
        <f t="shared" si="36"/>
        <v>dump:2112004173&amp;3112004173</v>
      </c>
      <c r="F618" s="3" t="str">
        <f t="shared" si="39"/>
        <v>哑资源设备_615</v>
      </c>
      <c r="G618" s="10" t="s">
        <v>406</v>
      </c>
      <c r="H618" s="3" t="str">
        <f>"检测机架"&amp;INDEX([1]机架!$D:$D,C618+3)&amp;IF(D618&lt;&gt;"","和"&amp;INDEX([1]机架!$D:$D,D618+3),"")&amp;"的数据"</f>
        <v>检测机架德州湖滨南路の机架-2和德州湖滨南路の机架-3的数据</v>
      </c>
      <c r="I618" s="3">
        <f>INDEX([1]机架!$C:$C,C618+3)</f>
        <v>3714002112</v>
      </c>
      <c r="J618" s="3">
        <f>IF(D618&lt;&gt;"",INDEX([1]机架!$C:$C,D618+3),0)</f>
        <v>3714002113</v>
      </c>
    </row>
    <row r="619" spans="1:10" ht="16.5" x14ac:dyDescent="0.2">
      <c r="A619" s="3" t="s">
        <v>393</v>
      </c>
      <c r="B619" s="3">
        <v>616</v>
      </c>
      <c r="C619" s="3">
        <f t="shared" si="37"/>
        <v>1231</v>
      </c>
      <c r="D619" s="3">
        <f t="shared" si="38"/>
        <v>1232</v>
      </c>
      <c r="E619" s="3" t="str">
        <f t="shared" si="36"/>
        <v>dump:1212004173&amp;2212004173</v>
      </c>
      <c r="F619" s="3" t="str">
        <f t="shared" si="39"/>
        <v>哑资源设备_616</v>
      </c>
      <c r="G619" s="10" t="s">
        <v>406</v>
      </c>
      <c r="H619" s="3" t="str">
        <f>"检测机架"&amp;INDEX([1]机架!$D:$D,C619+3)&amp;IF(D619&lt;&gt;"","和"&amp;INDEX([1]机架!$D:$D,D619+3),"")&amp;"的数据"</f>
        <v>检测机架德州湖滨南路の机架-4和德州湖滨南路の机架-5的数据</v>
      </c>
      <c r="I619" s="3">
        <f>INDEX([1]机架!$C:$C,C619+3)</f>
        <v>3714002121</v>
      </c>
      <c r="J619" s="3">
        <f>IF(D619&lt;&gt;"",INDEX([1]机架!$C:$C,D619+3),0)</f>
        <v>3714002122</v>
      </c>
    </row>
    <row r="620" spans="1:10" ht="16.5" x14ac:dyDescent="0.2">
      <c r="A620" s="3" t="s">
        <v>393</v>
      </c>
      <c r="B620" s="3">
        <v>617</v>
      </c>
      <c r="C620" s="3">
        <f t="shared" si="37"/>
        <v>1233</v>
      </c>
      <c r="D620" s="3">
        <f t="shared" si="38"/>
        <v>1234</v>
      </c>
      <c r="E620" s="3" t="str">
        <f t="shared" si="36"/>
        <v>dump:3212004173&amp;1312004173</v>
      </c>
      <c r="F620" s="3" t="str">
        <f t="shared" si="39"/>
        <v>哑资源设备_617</v>
      </c>
      <c r="G620" s="10" t="s">
        <v>406</v>
      </c>
      <c r="H620" s="3" t="str">
        <f>"检测机架"&amp;INDEX([1]机架!$D:$D,C620+3)&amp;IF(D620&lt;&gt;"","和"&amp;INDEX([1]机架!$D:$D,D620+3),"")&amp;"的数据"</f>
        <v>检测机架德州湖滨南路の机架-6和德州湖滨南路の机架-7的数据</v>
      </c>
      <c r="I620" s="3">
        <f>INDEX([1]机架!$C:$C,C620+3)</f>
        <v>3714002123</v>
      </c>
      <c r="J620" s="3">
        <f>IF(D620&lt;&gt;"",INDEX([1]机架!$C:$C,D620+3),0)</f>
        <v>3714002131</v>
      </c>
    </row>
    <row r="621" spans="1:10" ht="16.5" x14ac:dyDescent="0.2">
      <c r="A621" s="3" t="s">
        <v>393</v>
      </c>
      <c r="B621" s="3">
        <v>618</v>
      </c>
      <c r="C621" s="3">
        <f t="shared" si="37"/>
        <v>1235</v>
      </c>
      <c r="D621" s="3">
        <f t="shared" si="38"/>
        <v>1236</v>
      </c>
      <c r="E621" s="3" t="str">
        <f t="shared" si="36"/>
        <v>dump:2312004173&amp;3312004173</v>
      </c>
      <c r="F621" s="3" t="str">
        <f t="shared" si="39"/>
        <v>哑资源设备_618</v>
      </c>
      <c r="G621" s="10" t="s">
        <v>406</v>
      </c>
      <c r="H621" s="3" t="str">
        <f>"检测机架"&amp;INDEX([1]机架!$D:$D,C621+3)&amp;IF(D621&lt;&gt;"","和"&amp;INDEX([1]机架!$D:$D,D621+3),"")&amp;"的数据"</f>
        <v>检测机架德州湖滨南路の机架-8和德州湖滨南路の机架-9的数据</v>
      </c>
      <c r="I621" s="3">
        <f>INDEX([1]机架!$C:$C,C621+3)</f>
        <v>3714002132</v>
      </c>
      <c r="J621" s="3">
        <f>IF(D621&lt;&gt;"",INDEX([1]机架!$C:$C,D621+3),0)</f>
        <v>3714002133</v>
      </c>
    </row>
    <row r="622" spans="1:10" ht="16.5" x14ac:dyDescent="0.2">
      <c r="A622" s="3" t="s">
        <v>393</v>
      </c>
      <c r="B622" s="3">
        <v>619</v>
      </c>
      <c r="C622" s="3">
        <f t="shared" si="37"/>
        <v>1237</v>
      </c>
      <c r="D622" s="3">
        <f t="shared" si="38"/>
        <v>1238</v>
      </c>
      <c r="E622" s="3" t="str">
        <f t="shared" si="36"/>
        <v>dump:1113004173&amp;2113004173</v>
      </c>
      <c r="F622" s="3" t="str">
        <f t="shared" si="39"/>
        <v>哑资源设备_619</v>
      </c>
      <c r="G622" s="10" t="s">
        <v>406</v>
      </c>
      <c r="H622" s="3" t="str">
        <f>"检测机架"&amp;INDEX([1]机架!$D:$D,C622+3)&amp;IF(D622&lt;&gt;"","和"&amp;INDEX([1]机架!$D:$D,D622+3),"")&amp;"的数据"</f>
        <v>检测机架德州东风中路の机架-1和德州东风中路の机架-2的数据</v>
      </c>
      <c r="I622" s="3">
        <f>INDEX([1]机架!$C:$C,C622+3)</f>
        <v>3714003111</v>
      </c>
      <c r="J622" s="3">
        <f>IF(D622&lt;&gt;"",INDEX([1]机架!$C:$C,D622+3),0)</f>
        <v>3714003112</v>
      </c>
    </row>
    <row r="623" spans="1:10" ht="16.5" x14ac:dyDescent="0.2">
      <c r="A623" s="3" t="s">
        <v>393</v>
      </c>
      <c r="B623" s="3">
        <v>620</v>
      </c>
      <c r="C623" s="3">
        <f t="shared" si="37"/>
        <v>1239</v>
      </c>
      <c r="D623" s="3">
        <f t="shared" si="38"/>
        <v>1240</v>
      </c>
      <c r="E623" s="3" t="str">
        <f t="shared" si="36"/>
        <v>dump:3113004173&amp;1213004173</v>
      </c>
      <c r="F623" s="3" t="str">
        <f t="shared" si="39"/>
        <v>哑资源设备_620</v>
      </c>
      <c r="G623" s="10" t="s">
        <v>406</v>
      </c>
      <c r="H623" s="3" t="str">
        <f>"检测机架"&amp;INDEX([1]机架!$D:$D,C623+3)&amp;IF(D623&lt;&gt;"","和"&amp;INDEX([1]机架!$D:$D,D623+3),"")&amp;"的数据"</f>
        <v>检测机架德州东风中路の机架-3和德州东风中路の机架-4的数据</v>
      </c>
      <c r="I623" s="3">
        <f>INDEX([1]机架!$C:$C,C623+3)</f>
        <v>3714003113</v>
      </c>
      <c r="J623" s="3">
        <f>IF(D623&lt;&gt;"",INDEX([1]机架!$C:$C,D623+3),0)</f>
        <v>3714003121</v>
      </c>
    </row>
    <row r="624" spans="1:10" ht="16.5" x14ac:dyDescent="0.2">
      <c r="A624" s="3" t="s">
        <v>393</v>
      </c>
      <c r="B624" s="3">
        <v>621</v>
      </c>
      <c r="C624" s="3">
        <f t="shared" si="37"/>
        <v>1241</v>
      </c>
      <c r="D624" s="3">
        <f t="shared" si="38"/>
        <v>1242</v>
      </c>
      <c r="E624" s="3" t="str">
        <f t="shared" si="36"/>
        <v>dump:2213004173&amp;3213004173</v>
      </c>
      <c r="F624" s="3" t="str">
        <f t="shared" si="39"/>
        <v>哑资源设备_621</v>
      </c>
      <c r="G624" s="10" t="s">
        <v>406</v>
      </c>
      <c r="H624" s="3" t="str">
        <f>"检测机架"&amp;INDEX([1]机架!$D:$D,C624+3)&amp;IF(D624&lt;&gt;"","和"&amp;INDEX([1]机架!$D:$D,D624+3),"")&amp;"的数据"</f>
        <v>检测机架德州东风中路の机架-5和德州东风中路の机架-6的数据</v>
      </c>
      <c r="I624" s="3">
        <f>INDEX([1]机架!$C:$C,C624+3)</f>
        <v>3714003122</v>
      </c>
      <c r="J624" s="3">
        <f>IF(D624&lt;&gt;"",INDEX([1]机架!$C:$C,D624+3),0)</f>
        <v>3714003123</v>
      </c>
    </row>
    <row r="625" spans="1:10" ht="16.5" x14ac:dyDescent="0.2">
      <c r="A625" s="3" t="s">
        <v>393</v>
      </c>
      <c r="B625" s="3">
        <v>622</v>
      </c>
      <c r="C625" s="3">
        <f t="shared" si="37"/>
        <v>1243</v>
      </c>
      <c r="D625" s="3">
        <f t="shared" si="38"/>
        <v>1244</v>
      </c>
      <c r="E625" s="3" t="str">
        <f t="shared" si="36"/>
        <v>dump:1313004173&amp;2313004173</v>
      </c>
      <c r="F625" s="3" t="str">
        <f t="shared" si="39"/>
        <v>哑资源设备_622</v>
      </c>
      <c r="G625" s="10" t="s">
        <v>406</v>
      </c>
      <c r="H625" s="3" t="str">
        <f>"检测机架"&amp;INDEX([1]机架!$D:$D,C625+3)&amp;IF(D625&lt;&gt;"","和"&amp;INDEX([1]机架!$D:$D,D625+3),"")&amp;"的数据"</f>
        <v>检测机架德州东风中路の机架-7和德州东风中路の机架-8的数据</v>
      </c>
      <c r="I625" s="3">
        <f>INDEX([1]机架!$C:$C,C625+3)</f>
        <v>3714003131</v>
      </c>
      <c r="J625" s="3">
        <f>IF(D625&lt;&gt;"",INDEX([1]机架!$C:$C,D625+3),0)</f>
        <v>3714003132</v>
      </c>
    </row>
    <row r="626" spans="1:10" ht="16.5" x14ac:dyDescent="0.2">
      <c r="A626" s="3" t="s">
        <v>393</v>
      </c>
      <c r="B626" s="3">
        <v>623</v>
      </c>
      <c r="C626" s="3">
        <f t="shared" si="37"/>
        <v>1245</v>
      </c>
      <c r="D626" s="3">
        <f t="shared" si="38"/>
        <v>1246</v>
      </c>
      <c r="E626" s="3" t="str">
        <f t="shared" si="36"/>
        <v>dump:3313004173&amp;1114004173</v>
      </c>
      <c r="F626" s="3" t="str">
        <f t="shared" si="39"/>
        <v>哑资源设备_623</v>
      </c>
      <c r="G626" s="10" t="s">
        <v>406</v>
      </c>
      <c r="H626" s="3" t="str">
        <f>"检测机架"&amp;INDEX([1]机架!$D:$D,C626+3)&amp;IF(D626&lt;&gt;"","和"&amp;INDEX([1]机架!$D:$D,D626+3),"")&amp;"的数据"</f>
        <v>检测机架德州东风中路の机架-9和德州解放北路の机架-1的数据</v>
      </c>
      <c r="I626" s="3">
        <f>INDEX([1]机架!$C:$C,C626+3)</f>
        <v>3714003133</v>
      </c>
      <c r="J626" s="3">
        <f>IF(D626&lt;&gt;"",INDEX([1]机架!$C:$C,D626+3),0)</f>
        <v>3714004111</v>
      </c>
    </row>
    <row r="627" spans="1:10" ht="16.5" x14ac:dyDescent="0.2">
      <c r="A627" s="3" t="s">
        <v>393</v>
      </c>
      <c r="B627" s="3">
        <v>624</v>
      </c>
      <c r="C627" s="3">
        <f t="shared" si="37"/>
        <v>1247</v>
      </c>
      <c r="D627" s="3">
        <f t="shared" si="38"/>
        <v>1248</v>
      </c>
      <c r="E627" s="3" t="str">
        <f t="shared" si="36"/>
        <v>dump:2114004173&amp;3114004173</v>
      </c>
      <c r="F627" s="3" t="str">
        <f t="shared" si="39"/>
        <v>哑资源设备_624</v>
      </c>
      <c r="G627" s="10" t="s">
        <v>406</v>
      </c>
      <c r="H627" s="3" t="str">
        <f>"检测机架"&amp;INDEX([1]机架!$D:$D,C627+3)&amp;IF(D627&lt;&gt;"","和"&amp;INDEX([1]机架!$D:$D,D627+3),"")&amp;"的数据"</f>
        <v>检测机架德州解放北路の机架-2和德州解放北路の机架-3的数据</v>
      </c>
      <c r="I627" s="3">
        <f>INDEX([1]机架!$C:$C,C627+3)</f>
        <v>3714004112</v>
      </c>
      <c r="J627" s="3">
        <f>IF(D627&lt;&gt;"",INDEX([1]机架!$C:$C,D627+3),0)</f>
        <v>3714004113</v>
      </c>
    </row>
    <row r="628" spans="1:10" ht="16.5" x14ac:dyDescent="0.2">
      <c r="A628" s="3" t="s">
        <v>393</v>
      </c>
      <c r="B628" s="3">
        <v>625</v>
      </c>
      <c r="C628" s="3">
        <f t="shared" si="37"/>
        <v>1249</v>
      </c>
      <c r="D628" s="3">
        <f t="shared" si="38"/>
        <v>1250</v>
      </c>
      <c r="E628" s="3" t="str">
        <f t="shared" si="36"/>
        <v>dump:1214004173&amp;2214004173</v>
      </c>
      <c r="F628" s="3" t="str">
        <f t="shared" si="39"/>
        <v>哑资源设备_625</v>
      </c>
      <c r="G628" s="10" t="s">
        <v>406</v>
      </c>
      <c r="H628" s="3" t="str">
        <f>"检测机架"&amp;INDEX([1]机架!$D:$D,C628+3)&amp;IF(D628&lt;&gt;"","和"&amp;INDEX([1]机架!$D:$D,D628+3),"")&amp;"的数据"</f>
        <v>检测机架德州解放北路の机架-4和德州解放北路の机架-5的数据</v>
      </c>
      <c r="I628" s="3">
        <f>INDEX([1]机架!$C:$C,C628+3)</f>
        <v>3714004121</v>
      </c>
      <c r="J628" s="3">
        <f>IF(D628&lt;&gt;"",INDEX([1]机架!$C:$C,D628+3),0)</f>
        <v>3714004122</v>
      </c>
    </row>
    <row r="629" spans="1:10" ht="16.5" x14ac:dyDescent="0.2">
      <c r="A629" s="3" t="s">
        <v>393</v>
      </c>
      <c r="B629" s="3">
        <v>626</v>
      </c>
      <c r="C629" s="3">
        <f t="shared" si="37"/>
        <v>1251</v>
      </c>
      <c r="D629" s="3">
        <f t="shared" si="38"/>
        <v>1252</v>
      </c>
      <c r="E629" s="3" t="str">
        <f t="shared" si="36"/>
        <v>dump:3214004173&amp;1314004173</v>
      </c>
      <c r="F629" s="3" t="str">
        <f t="shared" si="39"/>
        <v>哑资源设备_626</v>
      </c>
      <c r="G629" s="10" t="s">
        <v>406</v>
      </c>
      <c r="H629" s="3" t="str">
        <f>"检测机架"&amp;INDEX([1]机架!$D:$D,C629+3)&amp;IF(D629&lt;&gt;"","和"&amp;INDEX([1]机架!$D:$D,D629+3),"")&amp;"的数据"</f>
        <v>检测机架德州解放北路の机架-6和德州解放北路の机架-7的数据</v>
      </c>
      <c r="I629" s="3">
        <f>INDEX([1]机架!$C:$C,C629+3)</f>
        <v>3714004123</v>
      </c>
      <c r="J629" s="3">
        <f>IF(D629&lt;&gt;"",INDEX([1]机架!$C:$C,D629+3),0)</f>
        <v>3714004131</v>
      </c>
    </row>
    <row r="630" spans="1:10" ht="16.5" x14ac:dyDescent="0.2">
      <c r="A630" s="3" t="s">
        <v>393</v>
      </c>
      <c r="B630" s="3">
        <v>627</v>
      </c>
      <c r="C630" s="3">
        <f t="shared" si="37"/>
        <v>1253</v>
      </c>
      <c r="D630" s="3">
        <f t="shared" si="38"/>
        <v>1254</v>
      </c>
      <c r="E630" s="3" t="str">
        <f t="shared" si="36"/>
        <v>dump:2314004173&amp;3314004173</v>
      </c>
      <c r="F630" s="3" t="str">
        <f t="shared" si="39"/>
        <v>哑资源设备_627</v>
      </c>
      <c r="G630" s="10" t="s">
        <v>406</v>
      </c>
      <c r="H630" s="3" t="str">
        <f>"检测机架"&amp;INDEX([1]机架!$D:$D,C630+3)&amp;IF(D630&lt;&gt;"","和"&amp;INDEX([1]机架!$D:$D,D630+3),"")&amp;"的数据"</f>
        <v>检测机架德州解放北路の机架-8和德州解放北路の机架-9的数据</v>
      </c>
      <c r="I630" s="3">
        <f>INDEX([1]机架!$C:$C,C630+3)</f>
        <v>3714004132</v>
      </c>
      <c r="J630" s="3">
        <f>IF(D630&lt;&gt;"",INDEX([1]机架!$C:$C,D630+3),0)</f>
        <v>3714004133</v>
      </c>
    </row>
    <row r="631" spans="1:10" ht="16.5" x14ac:dyDescent="0.2">
      <c r="A631" s="3" t="s">
        <v>393</v>
      </c>
      <c r="B631" s="3">
        <v>628</v>
      </c>
      <c r="C631" s="3">
        <f t="shared" si="37"/>
        <v>1255</v>
      </c>
      <c r="D631" s="3">
        <f t="shared" si="38"/>
        <v>1256</v>
      </c>
      <c r="E631" s="3" t="str">
        <f t="shared" si="36"/>
        <v>dump:1115004173&amp;2115004173</v>
      </c>
      <c r="F631" s="3" t="str">
        <f t="shared" si="39"/>
        <v>哑资源设备_628</v>
      </c>
      <c r="G631" s="10" t="s">
        <v>406</v>
      </c>
      <c r="H631" s="3" t="str">
        <f>"检测机架"&amp;INDEX([1]机架!$D:$D,C631+3)&amp;IF(D631&lt;&gt;"","和"&amp;INDEX([1]机架!$D:$D,D631+3),"")&amp;"的数据"</f>
        <v>检测机架乐陵兴隆南大街の机架-1和乐陵兴隆南大街の机架-2的数据</v>
      </c>
      <c r="I631" s="3">
        <f>INDEX([1]机架!$C:$C,C631+3)</f>
        <v>3714005111</v>
      </c>
      <c r="J631" s="3">
        <f>IF(D631&lt;&gt;"",INDEX([1]机架!$C:$C,D631+3),0)</f>
        <v>3714005112</v>
      </c>
    </row>
    <row r="632" spans="1:10" ht="16.5" x14ac:dyDescent="0.2">
      <c r="A632" s="3" t="s">
        <v>393</v>
      </c>
      <c r="B632" s="3">
        <v>629</v>
      </c>
      <c r="C632" s="3">
        <f t="shared" si="37"/>
        <v>1257</v>
      </c>
      <c r="D632" s="3">
        <f t="shared" si="38"/>
        <v>1258</v>
      </c>
      <c r="E632" s="3" t="str">
        <f t="shared" si="36"/>
        <v>dump:3115004173&amp;1215004173</v>
      </c>
      <c r="F632" s="3" t="str">
        <f t="shared" si="39"/>
        <v>哑资源设备_629</v>
      </c>
      <c r="G632" s="10" t="s">
        <v>406</v>
      </c>
      <c r="H632" s="3" t="str">
        <f>"检测机架"&amp;INDEX([1]机架!$D:$D,C632+3)&amp;IF(D632&lt;&gt;"","和"&amp;INDEX([1]机架!$D:$D,D632+3),"")&amp;"的数据"</f>
        <v>检测机架乐陵兴隆南大街の机架-3和乐陵兴隆南大街の机架-4的数据</v>
      </c>
      <c r="I632" s="3">
        <f>INDEX([1]机架!$C:$C,C632+3)</f>
        <v>3714005113</v>
      </c>
      <c r="J632" s="3">
        <f>IF(D632&lt;&gt;"",INDEX([1]机架!$C:$C,D632+3),0)</f>
        <v>3714005121</v>
      </c>
    </row>
    <row r="633" spans="1:10" ht="16.5" x14ac:dyDescent="0.2">
      <c r="A633" s="3" t="s">
        <v>393</v>
      </c>
      <c r="B633" s="3">
        <v>630</v>
      </c>
      <c r="C633" s="3">
        <f t="shared" si="37"/>
        <v>1259</v>
      </c>
      <c r="D633" s="3">
        <f t="shared" si="38"/>
        <v>1260</v>
      </c>
      <c r="E633" s="3" t="str">
        <f t="shared" si="36"/>
        <v>dump:2215004173&amp;3215004173</v>
      </c>
      <c r="F633" s="3" t="str">
        <f t="shared" si="39"/>
        <v>哑资源设备_630</v>
      </c>
      <c r="G633" s="10" t="s">
        <v>406</v>
      </c>
      <c r="H633" s="3" t="str">
        <f>"检测机架"&amp;INDEX([1]机架!$D:$D,C633+3)&amp;IF(D633&lt;&gt;"","和"&amp;INDEX([1]机架!$D:$D,D633+3),"")&amp;"的数据"</f>
        <v>检测机架乐陵兴隆南大街の机架-5和乐陵兴隆南大街の机架-6的数据</v>
      </c>
      <c r="I633" s="3">
        <f>INDEX([1]机架!$C:$C,C633+3)</f>
        <v>3714005122</v>
      </c>
      <c r="J633" s="3">
        <f>IF(D633&lt;&gt;"",INDEX([1]机架!$C:$C,D633+3),0)</f>
        <v>3714005123</v>
      </c>
    </row>
    <row r="634" spans="1:10" ht="16.5" x14ac:dyDescent="0.2">
      <c r="A634" s="3" t="s">
        <v>393</v>
      </c>
      <c r="B634" s="3">
        <v>631</v>
      </c>
      <c r="C634" s="3">
        <f t="shared" si="37"/>
        <v>1261</v>
      </c>
      <c r="D634" s="3">
        <f t="shared" si="38"/>
        <v>1262</v>
      </c>
      <c r="E634" s="3" t="str">
        <f t="shared" si="36"/>
        <v>dump:1315004173&amp;2315004173</v>
      </c>
      <c r="F634" s="3" t="str">
        <f t="shared" si="39"/>
        <v>哑资源设备_631</v>
      </c>
      <c r="G634" s="10" t="s">
        <v>406</v>
      </c>
      <c r="H634" s="3" t="str">
        <f>"检测机架"&amp;INDEX([1]机架!$D:$D,C634+3)&amp;IF(D634&lt;&gt;"","和"&amp;INDEX([1]机架!$D:$D,D634+3),"")&amp;"的数据"</f>
        <v>检测机架乐陵兴隆南大街の机架-7和乐陵兴隆南大街の机架-8的数据</v>
      </c>
      <c r="I634" s="3">
        <f>INDEX([1]机架!$C:$C,C634+3)</f>
        <v>3714005131</v>
      </c>
      <c r="J634" s="3">
        <f>IF(D634&lt;&gt;"",INDEX([1]机架!$C:$C,D634+3),0)</f>
        <v>3714005132</v>
      </c>
    </row>
    <row r="635" spans="1:10" ht="16.5" x14ac:dyDescent="0.2">
      <c r="A635" s="3" t="s">
        <v>393</v>
      </c>
      <c r="B635" s="3">
        <v>632</v>
      </c>
      <c r="C635" s="3">
        <f t="shared" si="37"/>
        <v>1263</v>
      </c>
      <c r="D635" s="3">
        <f t="shared" si="38"/>
        <v>1264</v>
      </c>
      <c r="E635" s="3" t="str">
        <f t="shared" si="36"/>
        <v>dump:3315004173&amp;1116004173</v>
      </c>
      <c r="F635" s="3" t="str">
        <f t="shared" si="39"/>
        <v>哑资源设备_632</v>
      </c>
      <c r="G635" s="10" t="s">
        <v>406</v>
      </c>
      <c r="H635" s="3" t="str">
        <f>"检测机架"&amp;INDEX([1]机架!$D:$D,C635+3)&amp;IF(D635&lt;&gt;"","和"&amp;INDEX([1]机架!$D:$D,D635+3),"")&amp;"的数据"</f>
        <v>检测机架乐陵兴隆南大街の机架-9和庆云新华路の机架-1的数据</v>
      </c>
      <c r="I635" s="3">
        <f>INDEX([1]机架!$C:$C,C635+3)</f>
        <v>3714005133</v>
      </c>
      <c r="J635" s="3">
        <f>IF(D635&lt;&gt;"",INDEX([1]机架!$C:$C,D635+3),0)</f>
        <v>3714006111</v>
      </c>
    </row>
    <row r="636" spans="1:10" ht="16.5" x14ac:dyDescent="0.2">
      <c r="A636" s="3" t="s">
        <v>393</v>
      </c>
      <c r="B636" s="3">
        <v>633</v>
      </c>
      <c r="C636" s="3">
        <f t="shared" si="37"/>
        <v>1265</v>
      </c>
      <c r="D636" s="3">
        <f t="shared" si="38"/>
        <v>1266</v>
      </c>
      <c r="E636" s="3" t="str">
        <f t="shared" si="36"/>
        <v>dump:2116004173&amp;3116004173</v>
      </c>
      <c r="F636" s="3" t="str">
        <f t="shared" si="39"/>
        <v>哑资源设备_633</v>
      </c>
      <c r="G636" s="10" t="s">
        <v>406</v>
      </c>
      <c r="H636" s="3" t="str">
        <f>"检测机架"&amp;INDEX([1]机架!$D:$D,C636+3)&amp;IF(D636&lt;&gt;"","和"&amp;INDEX([1]机架!$D:$D,D636+3),"")&amp;"的数据"</f>
        <v>检测机架庆云新华路の机架-2和庆云新华路の机架-3的数据</v>
      </c>
      <c r="I636" s="3">
        <f>INDEX([1]机架!$C:$C,C636+3)</f>
        <v>3714006112</v>
      </c>
      <c r="J636" s="3">
        <f>IF(D636&lt;&gt;"",INDEX([1]机架!$C:$C,D636+3),0)</f>
        <v>3714006113</v>
      </c>
    </row>
    <row r="637" spans="1:10" ht="16.5" x14ac:dyDescent="0.2">
      <c r="A637" s="3" t="s">
        <v>393</v>
      </c>
      <c r="B637" s="3">
        <v>634</v>
      </c>
      <c r="C637" s="3">
        <f t="shared" si="37"/>
        <v>1267</v>
      </c>
      <c r="D637" s="3">
        <f t="shared" si="38"/>
        <v>1268</v>
      </c>
      <c r="E637" s="3" t="str">
        <f t="shared" si="36"/>
        <v>dump:1216004173&amp;2216004173</v>
      </c>
      <c r="F637" s="3" t="str">
        <f t="shared" si="39"/>
        <v>哑资源设备_634</v>
      </c>
      <c r="G637" s="10" t="s">
        <v>406</v>
      </c>
      <c r="H637" s="3" t="str">
        <f>"检测机架"&amp;INDEX([1]机架!$D:$D,C637+3)&amp;IF(D637&lt;&gt;"","和"&amp;INDEX([1]机架!$D:$D,D637+3),"")&amp;"的数据"</f>
        <v>检测机架庆云新华路の机架-4和庆云新华路の机架-5的数据</v>
      </c>
      <c r="I637" s="3">
        <f>INDEX([1]机架!$C:$C,C637+3)</f>
        <v>3714006121</v>
      </c>
      <c r="J637" s="3">
        <f>IF(D637&lt;&gt;"",INDEX([1]机架!$C:$C,D637+3),0)</f>
        <v>3714006122</v>
      </c>
    </row>
    <row r="638" spans="1:10" ht="16.5" x14ac:dyDescent="0.2">
      <c r="A638" s="3" t="s">
        <v>393</v>
      </c>
      <c r="B638" s="3">
        <v>635</v>
      </c>
      <c r="C638" s="3">
        <f t="shared" si="37"/>
        <v>1269</v>
      </c>
      <c r="D638" s="3">
        <f t="shared" si="38"/>
        <v>1270</v>
      </c>
      <c r="E638" s="3" t="str">
        <f t="shared" si="36"/>
        <v>dump:3216004173&amp;1316004173</v>
      </c>
      <c r="F638" s="3" t="str">
        <f t="shared" si="39"/>
        <v>哑资源设备_635</v>
      </c>
      <c r="G638" s="10" t="s">
        <v>406</v>
      </c>
      <c r="H638" s="3" t="str">
        <f>"检测机架"&amp;INDEX([1]机架!$D:$D,C638+3)&amp;IF(D638&lt;&gt;"","和"&amp;INDEX([1]机架!$D:$D,D638+3),"")&amp;"的数据"</f>
        <v>检测机架庆云新华路の机架-6和庆云新华路の机架-7的数据</v>
      </c>
      <c r="I638" s="3">
        <f>INDEX([1]机架!$C:$C,C638+3)</f>
        <v>3714006123</v>
      </c>
      <c r="J638" s="3">
        <f>IF(D638&lt;&gt;"",INDEX([1]机架!$C:$C,D638+3),0)</f>
        <v>3714006131</v>
      </c>
    </row>
    <row r="639" spans="1:10" ht="16.5" x14ac:dyDescent="0.2">
      <c r="A639" s="3" t="s">
        <v>393</v>
      </c>
      <c r="B639" s="3">
        <v>636</v>
      </c>
      <c r="C639" s="3">
        <f t="shared" si="37"/>
        <v>1271</v>
      </c>
      <c r="D639" s="3">
        <f t="shared" si="38"/>
        <v>1272</v>
      </c>
      <c r="E639" s="3" t="str">
        <f t="shared" si="36"/>
        <v>dump:2316004173&amp;3316004173</v>
      </c>
      <c r="F639" s="3" t="str">
        <f t="shared" si="39"/>
        <v>哑资源设备_636</v>
      </c>
      <c r="G639" s="10" t="s">
        <v>406</v>
      </c>
      <c r="H639" s="3" t="str">
        <f>"检测机架"&amp;INDEX([1]机架!$D:$D,C639+3)&amp;IF(D639&lt;&gt;"","和"&amp;INDEX([1]机架!$D:$D,D639+3),"")&amp;"的数据"</f>
        <v>检测机架庆云新华路の机架-8和庆云新华路の机架-9的数据</v>
      </c>
      <c r="I639" s="3">
        <f>INDEX([1]机架!$C:$C,C639+3)</f>
        <v>3714006132</v>
      </c>
      <c r="J639" s="3">
        <f>IF(D639&lt;&gt;"",INDEX([1]机架!$C:$C,D639+3),0)</f>
        <v>3714006133</v>
      </c>
    </row>
    <row r="640" spans="1:10" ht="16.5" x14ac:dyDescent="0.2">
      <c r="A640" s="3" t="s">
        <v>393</v>
      </c>
      <c r="B640" s="3">
        <v>637</v>
      </c>
      <c r="C640" s="3">
        <f t="shared" si="37"/>
        <v>1273</v>
      </c>
      <c r="D640" s="3">
        <f t="shared" si="38"/>
        <v>1274</v>
      </c>
      <c r="E640" s="3" t="str">
        <f t="shared" si="36"/>
        <v>dump:1117004173&amp;2117004173</v>
      </c>
      <c r="F640" s="3" t="str">
        <f t="shared" si="39"/>
        <v>哑资源设备_637</v>
      </c>
      <c r="G640" s="10" t="s">
        <v>406</v>
      </c>
      <c r="H640" s="3" t="str">
        <f>"检测机架"&amp;INDEX([1]机架!$D:$D,C640+3)&amp;IF(D640&lt;&gt;"","和"&amp;INDEX([1]机架!$D:$D,D640+3),"")&amp;"的数据"</f>
        <v>检测机架临邑临盘の机架-1和临邑临盘の机架-2的数据</v>
      </c>
      <c r="I640" s="3">
        <f>INDEX([1]机架!$C:$C,C640+3)</f>
        <v>3714007111</v>
      </c>
      <c r="J640" s="3">
        <f>IF(D640&lt;&gt;"",INDEX([1]机架!$C:$C,D640+3),0)</f>
        <v>3714007112</v>
      </c>
    </row>
    <row r="641" spans="1:10" ht="16.5" x14ac:dyDescent="0.2">
      <c r="A641" s="3" t="s">
        <v>393</v>
      </c>
      <c r="B641" s="3">
        <v>638</v>
      </c>
      <c r="C641" s="3">
        <f t="shared" si="37"/>
        <v>1275</v>
      </c>
      <c r="D641" s="3">
        <f t="shared" si="38"/>
        <v>1276</v>
      </c>
      <c r="E641" s="3" t="str">
        <f t="shared" si="36"/>
        <v>dump:3117004173&amp;1217004173</v>
      </c>
      <c r="F641" s="3" t="str">
        <f t="shared" si="39"/>
        <v>哑资源设备_638</v>
      </c>
      <c r="G641" s="10" t="s">
        <v>406</v>
      </c>
      <c r="H641" s="3" t="str">
        <f>"检测机架"&amp;INDEX([1]机架!$D:$D,C641+3)&amp;IF(D641&lt;&gt;"","和"&amp;INDEX([1]机架!$D:$D,D641+3),"")&amp;"的数据"</f>
        <v>检测机架临邑临盘の机架-3和临邑临盘の机架-4的数据</v>
      </c>
      <c r="I641" s="3">
        <f>INDEX([1]机架!$C:$C,C641+3)</f>
        <v>3714007113</v>
      </c>
      <c r="J641" s="3">
        <f>IF(D641&lt;&gt;"",INDEX([1]机架!$C:$C,D641+3),0)</f>
        <v>3714007121</v>
      </c>
    </row>
    <row r="642" spans="1:10" ht="16.5" x14ac:dyDescent="0.2">
      <c r="A642" s="3" t="s">
        <v>393</v>
      </c>
      <c r="B642" s="3">
        <v>639</v>
      </c>
      <c r="C642" s="3">
        <f t="shared" si="37"/>
        <v>1277</v>
      </c>
      <c r="D642" s="3">
        <f t="shared" si="38"/>
        <v>1278</v>
      </c>
      <c r="E642" s="3" t="str">
        <f t="shared" si="36"/>
        <v>dump:2217004173&amp;3217004173</v>
      </c>
      <c r="F642" s="3" t="str">
        <f t="shared" si="39"/>
        <v>哑资源设备_639</v>
      </c>
      <c r="G642" s="10" t="s">
        <v>406</v>
      </c>
      <c r="H642" s="3" t="str">
        <f>"检测机架"&amp;INDEX([1]机架!$D:$D,C642+3)&amp;IF(D642&lt;&gt;"","和"&amp;INDEX([1]机架!$D:$D,D642+3),"")&amp;"的数据"</f>
        <v>检测机架临邑临盘の机架-5和临邑临盘の机架-6的数据</v>
      </c>
      <c r="I642" s="3">
        <f>INDEX([1]机架!$C:$C,C642+3)</f>
        <v>3714007122</v>
      </c>
      <c r="J642" s="3">
        <f>IF(D642&lt;&gt;"",INDEX([1]机架!$C:$C,D642+3),0)</f>
        <v>3714007123</v>
      </c>
    </row>
    <row r="643" spans="1:10" ht="16.5" x14ac:dyDescent="0.2">
      <c r="A643" s="3" t="s">
        <v>393</v>
      </c>
      <c r="B643" s="3">
        <v>640</v>
      </c>
      <c r="C643" s="3">
        <f t="shared" si="37"/>
        <v>1279</v>
      </c>
      <c r="D643" s="3">
        <f t="shared" si="38"/>
        <v>1280</v>
      </c>
      <c r="E643" s="3" t="str">
        <f t="shared" si="36"/>
        <v>dump:1317004173&amp;2317004173</v>
      </c>
      <c r="F643" s="3" t="str">
        <f t="shared" si="39"/>
        <v>哑资源设备_640</v>
      </c>
      <c r="G643" s="10" t="s">
        <v>406</v>
      </c>
      <c r="H643" s="3" t="str">
        <f>"检测机架"&amp;INDEX([1]机架!$D:$D,C643+3)&amp;IF(D643&lt;&gt;"","和"&amp;INDEX([1]机架!$D:$D,D643+3),"")&amp;"的数据"</f>
        <v>检测机架临邑临盘の机架-7和临邑临盘の机架-8的数据</v>
      </c>
      <c r="I643" s="3">
        <f>INDEX([1]机架!$C:$C,C643+3)</f>
        <v>3714007131</v>
      </c>
      <c r="J643" s="3">
        <f>IF(D643&lt;&gt;"",INDEX([1]机架!$C:$C,D643+3),0)</f>
        <v>3714007132</v>
      </c>
    </row>
    <row r="644" spans="1:10" ht="16.5" x14ac:dyDescent="0.2">
      <c r="A644" s="3" t="s">
        <v>393</v>
      </c>
      <c r="B644" s="3">
        <v>641</v>
      </c>
      <c r="C644" s="3">
        <f t="shared" si="37"/>
        <v>1281</v>
      </c>
      <c r="D644" s="3">
        <f t="shared" si="38"/>
        <v>1282</v>
      </c>
      <c r="E644" s="3" t="str">
        <f t="shared" ref="E644:E707" si="40">"dump:"&amp;Reverse(I644)&amp;"&amp;"&amp;Reverse(J644)</f>
        <v>dump:3317004173&amp;1118004173</v>
      </c>
      <c r="F644" s="3" t="str">
        <f t="shared" si="39"/>
        <v>哑资源设备_641</v>
      </c>
      <c r="G644" s="10" t="s">
        <v>406</v>
      </c>
      <c r="H644" s="3" t="str">
        <f>"检测机架"&amp;INDEX([1]机架!$D:$D,C644+3)&amp;IF(D644&lt;&gt;"","和"&amp;INDEX([1]机架!$D:$D,D644+3),"")&amp;"的数据"</f>
        <v>检测机架临邑临盘の机架-9和武城振华街の机架-1的数据</v>
      </c>
      <c r="I644" s="3">
        <f>INDEX([1]机架!$C:$C,C644+3)</f>
        <v>3714007133</v>
      </c>
      <c r="J644" s="3">
        <f>IF(D644&lt;&gt;"",INDEX([1]机架!$C:$C,D644+3),0)</f>
        <v>3714008111</v>
      </c>
    </row>
    <row r="645" spans="1:10" ht="16.5" x14ac:dyDescent="0.2">
      <c r="A645" s="3" t="s">
        <v>393</v>
      </c>
      <c r="B645" s="3">
        <v>642</v>
      </c>
      <c r="C645" s="3">
        <f t="shared" ref="C645:C708" si="41">MOD(B645-1,INT(($N$3+1)/2))*2+1</f>
        <v>1283</v>
      </c>
      <c r="D645" s="3">
        <f t="shared" ref="D645:D708" si="42">IF(C645&lt;$N$3,MOD(B645-1,INT(($N$3+1)/2))*2+2,"")</f>
        <v>1284</v>
      </c>
      <c r="E645" s="3" t="str">
        <f t="shared" si="40"/>
        <v>dump:2118004173&amp;3118004173</v>
      </c>
      <c r="F645" s="3" t="str">
        <f t="shared" ref="F645:F708" si="43">"哑资源设备_"&amp;B645</f>
        <v>哑资源设备_642</v>
      </c>
      <c r="G645" s="10" t="s">
        <v>406</v>
      </c>
      <c r="H645" s="3" t="str">
        <f>"检测机架"&amp;INDEX([1]机架!$D:$D,C645+3)&amp;IF(D645&lt;&gt;"","和"&amp;INDEX([1]机架!$D:$D,D645+3),"")&amp;"的数据"</f>
        <v>检测机架武城振华街の机架-2和武城振华街の机架-3的数据</v>
      </c>
      <c r="I645" s="3">
        <f>INDEX([1]机架!$C:$C,C645+3)</f>
        <v>3714008112</v>
      </c>
      <c r="J645" s="3">
        <f>IF(D645&lt;&gt;"",INDEX([1]机架!$C:$C,D645+3),0)</f>
        <v>3714008113</v>
      </c>
    </row>
    <row r="646" spans="1:10" ht="16.5" x14ac:dyDescent="0.2">
      <c r="A646" s="3" t="s">
        <v>393</v>
      </c>
      <c r="B646" s="3">
        <v>643</v>
      </c>
      <c r="C646" s="3">
        <f t="shared" si="41"/>
        <v>1285</v>
      </c>
      <c r="D646" s="3">
        <f t="shared" si="42"/>
        <v>1286</v>
      </c>
      <c r="E646" s="3" t="str">
        <f t="shared" si="40"/>
        <v>dump:1218004173&amp;2218004173</v>
      </c>
      <c r="F646" s="3" t="str">
        <f t="shared" si="43"/>
        <v>哑资源设备_643</v>
      </c>
      <c r="G646" s="10" t="s">
        <v>406</v>
      </c>
      <c r="H646" s="3" t="str">
        <f>"检测机架"&amp;INDEX([1]机架!$D:$D,C646+3)&amp;IF(D646&lt;&gt;"","和"&amp;INDEX([1]机架!$D:$D,D646+3),"")&amp;"的数据"</f>
        <v>检测机架武城振华街の机架-4和武城振华街の机架-5的数据</v>
      </c>
      <c r="I646" s="3">
        <f>INDEX([1]机架!$C:$C,C646+3)</f>
        <v>3714008121</v>
      </c>
      <c r="J646" s="3">
        <f>IF(D646&lt;&gt;"",INDEX([1]机架!$C:$C,D646+3),0)</f>
        <v>3714008122</v>
      </c>
    </row>
    <row r="647" spans="1:10" ht="16.5" x14ac:dyDescent="0.2">
      <c r="A647" s="3" t="s">
        <v>393</v>
      </c>
      <c r="B647" s="3">
        <v>644</v>
      </c>
      <c r="C647" s="3">
        <f t="shared" si="41"/>
        <v>1287</v>
      </c>
      <c r="D647" s="3">
        <f t="shared" si="42"/>
        <v>1288</v>
      </c>
      <c r="E647" s="3" t="str">
        <f t="shared" si="40"/>
        <v>dump:3218004173&amp;1318004173</v>
      </c>
      <c r="F647" s="3" t="str">
        <f t="shared" si="43"/>
        <v>哑资源设备_644</v>
      </c>
      <c r="G647" s="10" t="s">
        <v>406</v>
      </c>
      <c r="H647" s="3" t="str">
        <f>"检测机架"&amp;INDEX([1]机架!$D:$D,C647+3)&amp;IF(D647&lt;&gt;"","和"&amp;INDEX([1]机架!$D:$D,D647+3),"")&amp;"的数据"</f>
        <v>检测机架武城振华街の机架-6和武城振华街の机架-7的数据</v>
      </c>
      <c r="I647" s="3">
        <f>INDEX([1]机架!$C:$C,C647+3)</f>
        <v>3714008123</v>
      </c>
      <c r="J647" s="3">
        <f>IF(D647&lt;&gt;"",INDEX([1]机架!$C:$C,D647+3),0)</f>
        <v>3714008131</v>
      </c>
    </row>
    <row r="648" spans="1:10" ht="16.5" x14ac:dyDescent="0.2">
      <c r="A648" s="3" t="s">
        <v>393</v>
      </c>
      <c r="B648" s="3">
        <v>645</v>
      </c>
      <c r="C648" s="3">
        <f t="shared" si="41"/>
        <v>1289</v>
      </c>
      <c r="D648" s="3">
        <f t="shared" si="42"/>
        <v>1290</v>
      </c>
      <c r="E648" s="3" t="str">
        <f t="shared" si="40"/>
        <v>dump:2318004173&amp;3318004173</v>
      </c>
      <c r="F648" s="3" t="str">
        <f t="shared" si="43"/>
        <v>哑资源设备_645</v>
      </c>
      <c r="G648" s="10" t="s">
        <v>406</v>
      </c>
      <c r="H648" s="3" t="str">
        <f>"检测机架"&amp;INDEX([1]机架!$D:$D,C648+3)&amp;IF(D648&lt;&gt;"","和"&amp;INDEX([1]机架!$D:$D,D648+3),"")&amp;"的数据"</f>
        <v>检测机架武城振华街の机架-8和武城振华街の机架-9的数据</v>
      </c>
      <c r="I648" s="3">
        <f>INDEX([1]机架!$C:$C,C648+3)</f>
        <v>3714008132</v>
      </c>
      <c r="J648" s="3">
        <f>IF(D648&lt;&gt;"",INDEX([1]机架!$C:$C,D648+3),0)</f>
        <v>3714008133</v>
      </c>
    </row>
    <row r="649" spans="1:10" ht="16.5" x14ac:dyDescent="0.2">
      <c r="A649" s="3" t="s">
        <v>393</v>
      </c>
      <c r="B649" s="3">
        <v>646</v>
      </c>
      <c r="C649" s="3">
        <f t="shared" si="41"/>
        <v>1291</v>
      </c>
      <c r="D649" s="3">
        <f t="shared" si="42"/>
        <v>1292</v>
      </c>
      <c r="E649" s="3" t="str">
        <f t="shared" si="40"/>
        <v>dump:1119004173&amp;2119004173</v>
      </c>
      <c r="F649" s="3" t="str">
        <f t="shared" si="43"/>
        <v>哑资源设备_646</v>
      </c>
      <c r="G649" s="10" t="s">
        <v>406</v>
      </c>
      <c r="H649" s="3" t="str">
        <f>"检测机架"&amp;INDEX([1]机架!$D:$D,C649+3)&amp;IF(D649&lt;&gt;"","和"&amp;INDEX([1]机架!$D:$D,D649+3),"")&amp;"的数据"</f>
        <v>检测机架夏津中山南街の机架-1和夏津中山南街の机架-2的数据</v>
      </c>
      <c r="I649" s="3">
        <f>INDEX([1]机架!$C:$C,C649+3)</f>
        <v>3714009111</v>
      </c>
      <c r="J649" s="3">
        <f>IF(D649&lt;&gt;"",INDEX([1]机架!$C:$C,D649+3),0)</f>
        <v>3714009112</v>
      </c>
    </row>
    <row r="650" spans="1:10" ht="16.5" x14ac:dyDescent="0.2">
      <c r="A650" s="3" t="s">
        <v>393</v>
      </c>
      <c r="B650" s="3">
        <v>647</v>
      </c>
      <c r="C650" s="3">
        <f t="shared" si="41"/>
        <v>1293</v>
      </c>
      <c r="D650" s="3">
        <f t="shared" si="42"/>
        <v>1294</v>
      </c>
      <c r="E650" s="3" t="str">
        <f t="shared" si="40"/>
        <v>dump:3119004173&amp;1219004173</v>
      </c>
      <c r="F650" s="3" t="str">
        <f t="shared" si="43"/>
        <v>哑资源设备_647</v>
      </c>
      <c r="G650" s="10" t="s">
        <v>406</v>
      </c>
      <c r="H650" s="3" t="str">
        <f>"检测机架"&amp;INDEX([1]机架!$D:$D,C650+3)&amp;IF(D650&lt;&gt;"","和"&amp;INDEX([1]机架!$D:$D,D650+3),"")&amp;"的数据"</f>
        <v>检测机架夏津中山南街の机架-3和夏津中山南街の机架-4的数据</v>
      </c>
      <c r="I650" s="3">
        <f>INDEX([1]机架!$C:$C,C650+3)</f>
        <v>3714009113</v>
      </c>
      <c r="J650" s="3">
        <f>IF(D650&lt;&gt;"",INDEX([1]机架!$C:$C,D650+3),0)</f>
        <v>3714009121</v>
      </c>
    </row>
    <row r="651" spans="1:10" ht="16.5" x14ac:dyDescent="0.2">
      <c r="A651" s="3" t="s">
        <v>393</v>
      </c>
      <c r="B651" s="3">
        <v>648</v>
      </c>
      <c r="C651" s="3">
        <f t="shared" si="41"/>
        <v>1295</v>
      </c>
      <c r="D651" s="3">
        <f t="shared" si="42"/>
        <v>1296</v>
      </c>
      <c r="E651" s="3" t="str">
        <f t="shared" si="40"/>
        <v>dump:2219004173&amp;3219004173</v>
      </c>
      <c r="F651" s="3" t="str">
        <f t="shared" si="43"/>
        <v>哑资源设备_648</v>
      </c>
      <c r="G651" s="10" t="s">
        <v>406</v>
      </c>
      <c r="H651" s="3" t="str">
        <f>"检测机架"&amp;INDEX([1]机架!$D:$D,C651+3)&amp;IF(D651&lt;&gt;"","和"&amp;INDEX([1]机架!$D:$D,D651+3),"")&amp;"的数据"</f>
        <v>检测机架夏津中山南街の机架-5和夏津中山南街の机架-6的数据</v>
      </c>
      <c r="I651" s="3">
        <f>INDEX([1]机架!$C:$C,C651+3)</f>
        <v>3714009122</v>
      </c>
      <c r="J651" s="3">
        <f>IF(D651&lt;&gt;"",INDEX([1]机架!$C:$C,D651+3),0)</f>
        <v>3714009123</v>
      </c>
    </row>
    <row r="652" spans="1:10" ht="16.5" x14ac:dyDescent="0.2">
      <c r="A652" s="3" t="s">
        <v>393</v>
      </c>
      <c r="B652" s="3">
        <v>649</v>
      </c>
      <c r="C652" s="3">
        <f t="shared" si="41"/>
        <v>1297</v>
      </c>
      <c r="D652" s="3">
        <f t="shared" si="42"/>
        <v>1298</v>
      </c>
      <c r="E652" s="3" t="str">
        <f t="shared" si="40"/>
        <v>dump:1319004173&amp;2319004173</v>
      </c>
      <c r="F652" s="3" t="str">
        <f t="shared" si="43"/>
        <v>哑资源设备_649</v>
      </c>
      <c r="G652" s="10" t="s">
        <v>406</v>
      </c>
      <c r="H652" s="3" t="str">
        <f>"检测机架"&amp;INDEX([1]机架!$D:$D,C652+3)&amp;IF(D652&lt;&gt;"","和"&amp;INDEX([1]机架!$D:$D,D652+3),"")&amp;"的数据"</f>
        <v>检测机架夏津中山南街の机架-7和夏津中山南街の机架-8的数据</v>
      </c>
      <c r="I652" s="3">
        <f>INDEX([1]机架!$C:$C,C652+3)</f>
        <v>3714009131</v>
      </c>
      <c r="J652" s="3">
        <f>IF(D652&lt;&gt;"",INDEX([1]机架!$C:$C,D652+3),0)</f>
        <v>3714009132</v>
      </c>
    </row>
    <row r="653" spans="1:10" ht="16.5" x14ac:dyDescent="0.2">
      <c r="A653" s="3" t="s">
        <v>393</v>
      </c>
      <c r="B653" s="3">
        <v>650</v>
      </c>
      <c r="C653" s="3">
        <f t="shared" si="41"/>
        <v>1299</v>
      </c>
      <c r="D653" s="3">
        <f t="shared" si="42"/>
        <v>1300</v>
      </c>
      <c r="E653" s="3" t="str">
        <f t="shared" si="40"/>
        <v>dump:3319004173&amp;1110104173</v>
      </c>
      <c r="F653" s="3" t="str">
        <f t="shared" si="43"/>
        <v>哑资源设备_650</v>
      </c>
      <c r="G653" s="10" t="s">
        <v>406</v>
      </c>
      <c r="H653" s="3" t="str">
        <f>"检测机架"&amp;INDEX([1]机架!$D:$D,C653+3)&amp;IF(D653&lt;&gt;"","和"&amp;INDEX([1]机架!$D:$D,D653+3),"")&amp;"的数据"</f>
        <v>检测机架夏津中山南街の机架-9和宁津中心大街の机架-1的数据</v>
      </c>
      <c r="I653" s="3">
        <f>INDEX([1]机架!$C:$C,C653+3)</f>
        <v>3714009133</v>
      </c>
      <c r="J653" s="3">
        <f>IF(D653&lt;&gt;"",INDEX([1]机架!$C:$C,D653+3),0)</f>
        <v>3714010111</v>
      </c>
    </row>
    <row r="654" spans="1:10" ht="16.5" x14ac:dyDescent="0.2">
      <c r="A654" s="3" t="s">
        <v>393</v>
      </c>
      <c r="B654" s="3">
        <v>651</v>
      </c>
      <c r="C654" s="3">
        <f t="shared" si="41"/>
        <v>1301</v>
      </c>
      <c r="D654" s="3">
        <f t="shared" si="42"/>
        <v>1302</v>
      </c>
      <c r="E654" s="3" t="str">
        <f t="shared" si="40"/>
        <v>dump:2110104173&amp;3110104173</v>
      </c>
      <c r="F654" s="3" t="str">
        <f t="shared" si="43"/>
        <v>哑资源设备_651</v>
      </c>
      <c r="G654" s="10" t="s">
        <v>406</v>
      </c>
      <c r="H654" s="3" t="str">
        <f>"检测机架"&amp;INDEX([1]机架!$D:$D,C654+3)&amp;IF(D654&lt;&gt;"","和"&amp;INDEX([1]机架!$D:$D,D654+3),"")&amp;"的数据"</f>
        <v>检测机架宁津中心大街の机架-2和宁津中心大街の机架-3的数据</v>
      </c>
      <c r="I654" s="3">
        <f>INDEX([1]机架!$C:$C,C654+3)</f>
        <v>3714010112</v>
      </c>
      <c r="J654" s="3">
        <f>IF(D654&lt;&gt;"",INDEX([1]机架!$C:$C,D654+3),0)</f>
        <v>3714010113</v>
      </c>
    </row>
    <row r="655" spans="1:10" ht="16.5" x14ac:dyDescent="0.2">
      <c r="A655" s="3" t="s">
        <v>393</v>
      </c>
      <c r="B655" s="3">
        <v>652</v>
      </c>
      <c r="C655" s="3">
        <f t="shared" si="41"/>
        <v>1303</v>
      </c>
      <c r="D655" s="3">
        <f t="shared" si="42"/>
        <v>1304</v>
      </c>
      <c r="E655" s="3" t="str">
        <f t="shared" si="40"/>
        <v>dump:1210104173&amp;2210104173</v>
      </c>
      <c r="F655" s="3" t="str">
        <f t="shared" si="43"/>
        <v>哑资源设备_652</v>
      </c>
      <c r="G655" s="10" t="s">
        <v>406</v>
      </c>
      <c r="H655" s="3" t="str">
        <f>"检测机架"&amp;INDEX([1]机架!$D:$D,C655+3)&amp;IF(D655&lt;&gt;"","和"&amp;INDEX([1]机架!$D:$D,D655+3),"")&amp;"的数据"</f>
        <v>检测机架宁津中心大街の机架-4和宁津中心大街の机架-5的数据</v>
      </c>
      <c r="I655" s="3">
        <f>INDEX([1]机架!$C:$C,C655+3)</f>
        <v>3714010121</v>
      </c>
      <c r="J655" s="3">
        <f>IF(D655&lt;&gt;"",INDEX([1]机架!$C:$C,D655+3),0)</f>
        <v>3714010122</v>
      </c>
    </row>
    <row r="656" spans="1:10" ht="16.5" x14ac:dyDescent="0.2">
      <c r="A656" s="3" t="s">
        <v>393</v>
      </c>
      <c r="B656" s="3">
        <v>653</v>
      </c>
      <c r="C656" s="3">
        <f t="shared" si="41"/>
        <v>1305</v>
      </c>
      <c r="D656" s="3">
        <f t="shared" si="42"/>
        <v>1306</v>
      </c>
      <c r="E656" s="3" t="str">
        <f t="shared" si="40"/>
        <v>dump:3210104173&amp;1310104173</v>
      </c>
      <c r="F656" s="3" t="str">
        <f t="shared" si="43"/>
        <v>哑资源设备_653</v>
      </c>
      <c r="G656" s="10" t="s">
        <v>406</v>
      </c>
      <c r="H656" s="3" t="str">
        <f>"检测机架"&amp;INDEX([1]机架!$D:$D,C656+3)&amp;IF(D656&lt;&gt;"","和"&amp;INDEX([1]机架!$D:$D,D656+3),"")&amp;"的数据"</f>
        <v>检测机架宁津中心大街の机架-6和宁津中心大街の机架-7的数据</v>
      </c>
      <c r="I656" s="3">
        <f>INDEX([1]机架!$C:$C,C656+3)</f>
        <v>3714010123</v>
      </c>
      <c r="J656" s="3">
        <f>IF(D656&lt;&gt;"",INDEX([1]机架!$C:$C,D656+3),0)</f>
        <v>3714010131</v>
      </c>
    </row>
    <row r="657" spans="1:10" ht="16.5" x14ac:dyDescent="0.2">
      <c r="A657" s="3" t="s">
        <v>393</v>
      </c>
      <c r="B657" s="3">
        <v>654</v>
      </c>
      <c r="C657" s="3">
        <f t="shared" si="41"/>
        <v>1307</v>
      </c>
      <c r="D657" s="3">
        <f t="shared" si="42"/>
        <v>1308</v>
      </c>
      <c r="E657" s="3" t="str">
        <f t="shared" si="40"/>
        <v>dump:2310104173&amp;3310104173</v>
      </c>
      <c r="F657" s="3" t="str">
        <f t="shared" si="43"/>
        <v>哑资源设备_654</v>
      </c>
      <c r="G657" s="10" t="s">
        <v>406</v>
      </c>
      <c r="H657" s="3" t="str">
        <f>"检测机架"&amp;INDEX([1]机架!$D:$D,C657+3)&amp;IF(D657&lt;&gt;"","和"&amp;INDEX([1]机架!$D:$D,D657+3),"")&amp;"的数据"</f>
        <v>检测机架宁津中心大街の机架-8和宁津中心大街の机架-9的数据</v>
      </c>
      <c r="I657" s="3">
        <f>INDEX([1]机架!$C:$C,C657+3)</f>
        <v>3714010132</v>
      </c>
      <c r="J657" s="3">
        <f>IF(D657&lt;&gt;"",INDEX([1]机架!$C:$C,D657+3),0)</f>
        <v>3714010133</v>
      </c>
    </row>
    <row r="658" spans="1:10" ht="16.5" x14ac:dyDescent="0.2">
      <c r="A658" s="3" t="s">
        <v>393</v>
      </c>
      <c r="B658" s="3">
        <v>655</v>
      </c>
      <c r="C658" s="3">
        <f t="shared" si="41"/>
        <v>1309</v>
      </c>
      <c r="D658" s="3">
        <f t="shared" si="42"/>
        <v>1310</v>
      </c>
      <c r="E658" s="3" t="str">
        <f t="shared" si="40"/>
        <v>dump:1111104173&amp;2111104173</v>
      </c>
      <c r="F658" s="3" t="str">
        <f t="shared" si="43"/>
        <v>哑资源设备_655</v>
      </c>
      <c r="G658" s="10" t="s">
        <v>406</v>
      </c>
      <c r="H658" s="3" t="str">
        <f>"检测机架"&amp;INDEX([1]机架!$D:$D,C658+3)&amp;IF(D658&lt;&gt;"","和"&amp;INDEX([1]机架!$D:$D,D658+3),"")&amp;"的数据"</f>
        <v>检测机架齐河新华路の机架-1和齐河新华路の机架-2的数据</v>
      </c>
      <c r="I658" s="3">
        <f>INDEX([1]机架!$C:$C,C658+3)</f>
        <v>3714011111</v>
      </c>
      <c r="J658" s="3">
        <f>IF(D658&lt;&gt;"",INDEX([1]机架!$C:$C,D658+3),0)</f>
        <v>3714011112</v>
      </c>
    </row>
    <row r="659" spans="1:10" ht="16.5" x14ac:dyDescent="0.2">
      <c r="A659" s="3" t="s">
        <v>393</v>
      </c>
      <c r="B659" s="3">
        <v>656</v>
      </c>
      <c r="C659" s="3">
        <f t="shared" si="41"/>
        <v>1311</v>
      </c>
      <c r="D659" s="3">
        <f t="shared" si="42"/>
        <v>1312</v>
      </c>
      <c r="E659" s="3" t="str">
        <f t="shared" si="40"/>
        <v>dump:3111104173&amp;1211104173</v>
      </c>
      <c r="F659" s="3" t="str">
        <f t="shared" si="43"/>
        <v>哑资源设备_656</v>
      </c>
      <c r="G659" s="10" t="s">
        <v>406</v>
      </c>
      <c r="H659" s="3" t="str">
        <f>"检测机架"&amp;INDEX([1]机架!$D:$D,C659+3)&amp;IF(D659&lt;&gt;"","和"&amp;INDEX([1]机架!$D:$D,D659+3),"")&amp;"的数据"</f>
        <v>检测机架齐河新华路の机架-3和齐河新华路の机架-4的数据</v>
      </c>
      <c r="I659" s="3">
        <f>INDEX([1]机架!$C:$C,C659+3)</f>
        <v>3714011113</v>
      </c>
      <c r="J659" s="3">
        <f>IF(D659&lt;&gt;"",INDEX([1]机架!$C:$C,D659+3),0)</f>
        <v>3714011121</v>
      </c>
    </row>
    <row r="660" spans="1:10" ht="16.5" x14ac:dyDescent="0.2">
      <c r="A660" s="3" t="s">
        <v>393</v>
      </c>
      <c r="B660" s="3">
        <v>657</v>
      </c>
      <c r="C660" s="3">
        <f t="shared" si="41"/>
        <v>1313</v>
      </c>
      <c r="D660" s="3">
        <f t="shared" si="42"/>
        <v>1314</v>
      </c>
      <c r="E660" s="3" t="str">
        <f t="shared" si="40"/>
        <v>dump:2211104173&amp;3211104173</v>
      </c>
      <c r="F660" s="3" t="str">
        <f t="shared" si="43"/>
        <v>哑资源设备_657</v>
      </c>
      <c r="G660" s="10" t="s">
        <v>406</v>
      </c>
      <c r="H660" s="3" t="str">
        <f>"检测机架"&amp;INDEX([1]机架!$D:$D,C660+3)&amp;IF(D660&lt;&gt;"","和"&amp;INDEX([1]机架!$D:$D,D660+3),"")&amp;"的数据"</f>
        <v>检测机架齐河新华路の机架-5和齐河新华路の机架-6的数据</v>
      </c>
      <c r="I660" s="3">
        <f>INDEX([1]机架!$C:$C,C660+3)</f>
        <v>3714011122</v>
      </c>
      <c r="J660" s="3">
        <f>IF(D660&lt;&gt;"",INDEX([1]机架!$C:$C,D660+3),0)</f>
        <v>3714011123</v>
      </c>
    </row>
    <row r="661" spans="1:10" ht="16.5" x14ac:dyDescent="0.2">
      <c r="A661" s="3" t="s">
        <v>393</v>
      </c>
      <c r="B661" s="3">
        <v>658</v>
      </c>
      <c r="C661" s="3">
        <f t="shared" si="41"/>
        <v>1315</v>
      </c>
      <c r="D661" s="3">
        <f t="shared" si="42"/>
        <v>1316</v>
      </c>
      <c r="E661" s="3" t="str">
        <f t="shared" si="40"/>
        <v>dump:1311104173&amp;2311104173</v>
      </c>
      <c r="F661" s="3" t="str">
        <f t="shared" si="43"/>
        <v>哑资源设备_658</v>
      </c>
      <c r="G661" s="10" t="s">
        <v>406</v>
      </c>
      <c r="H661" s="3" t="str">
        <f>"检测机架"&amp;INDEX([1]机架!$D:$D,C661+3)&amp;IF(D661&lt;&gt;"","和"&amp;INDEX([1]机架!$D:$D,D661+3),"")&amp;"的数据"</f>
        <v>检测机架齐河新华路の机架-7和齐河新华路の机架-8的数据</v>
      </c>
      <c r="I661" s="3">
        <f>INDEX([1]机架!$C:$C,C661+3)</f>
        <v>3714011131</v>
      </c>
      <c r="J661" s="3">
        <f>IF(D661&lt;&gt;"",INDEX([1]机架!$C:$C,D661+3),0)</f>
        <v>3714011132</v>
      </c>
    </row>
    <row r="662" spans="1:10" ht="16.5" x14ac:dyDescent="0.2">
      <c r="A662" s="3" t="s">
        <v>393</v>
      </c>
      <c r="B662" s="3">
        <v>659</v>
      </c>
      <c r="C662" s="3">
        <f t="shared" si="41"/>
        <v>1317</v>
      </c>
      <c r="D662" s="3">
        <f t="shared" si="42"/>
        <v>1318</v>
      </c>
      <c r="E662" s="3" t="str">
        <f t="shared" si="40"/>
        <v>dump:3311104173&amp;1112104173</v>
      </c>
      <c r="F662" s="3" t="str">
        <f t="shared" si="43"/>
        <v>哑资源设备_659</v>
      </c>
      <c r="G662" s="10" t="s">
        <v>406</v>
      </c>
      <c r="H662" s="3" t="str">
        <f>"检测机架"&amp;INDEX([1]机架!$D:$D,C662+3)&amp;IF(D662&lt;&gt;"","和"&amp;INDEX([1]机架!$D:$D,D662+3),"")&amp;"的数据"</f>
        <v>检测机架齐河新华路の机架-9和齐河务头の机架-1的数据</v>
      </c>
      <c r="I662" s="3">
        <f>INDEX([1]机架!$C:$C,C662+3)</f>
        <v>3714011133</v>
      </c>
      <c r="J662" s="3">
        <f>IF(D662&lt;&gt;"",INDEX([1]机架!$C:$C,D662+3),0)</f>
        <v>3714012111</v>
      </c>
    </row>
    <row r="663" spans="1:10" ht="16.5" x14ac:dyDescent="0.2">
      <c r="A663" s="3" t="s">
        <v>393</v>
      </c>
      <c r="B663" s="3">
        <v>660</v>
      </c>
      <c r="C663" s="3">
        <f t="shared" si="41"/>
        <v>1319</v>
      </c>
      <c r="D663" s="3">
        <f t="shared" si="42"/>
        <v>1320</v>
      </c>
      <c r="E663" s="3" t="str">
        <f t="shared" si="40"/>
        <v>dump:2112104173&amp;3112104173</v>
      </c>
      <c r="F663" s="3" t="str">
        <f t="shared" si="43"/>
        <v>哑资源设备_660</v>
      </c>
      <c r="G663" s="10" t="s">
        <v>406</v>
      </c>
      <c r="H663" s="3" t="str">
        <f>"检测机架"&amp;INDEX([1]机架!$D:$D,C663+3)&amp;IF(D663&lt;&gt;"","和"&amp;INDEX([1]机架!$D:$D,D663+3),"")&amp;"的数据"</f>
        <v>检测机架齐河务头の机架-2和齐河务头の机架-3的数据</v>
      </c>
      <c r="I663" s="3">
        <f>INDEX([1]机架!$C:$C,C663+3)</f>
        <v>3714012112</v>
      </c>
      <c r="J663" s="3">
        <f>IF(D663&lt;&gt;"",INDEX([1]机架!$C:$C,D663+3),0)</f>
        <v>3714012113</v>
      </c>
    </row>
    <row r="664" spans="1:10" ht="16.5" x14ac:dyDescent="0.2">
      <c r="A664" s="3" t="s">
        <v>393</v>
      </c>
      <c r="B664" s="3">
        <v>661</v>
      </c>
      <c r="C664" s="3">
        <f t="shared" si="41"/>
        <v>1321</v>
      </c>
      <c r="D664" s="3">
        <f t="shared" si="42"/>
        <v>1322</v>
      </c>
      <c r="E664" s="3" t="str">
        <f t="shared" si="40"/>
        <v>dump:1212104173&amp;2212104173</v>
      </c>
      <c r="F664" s="3" t="str">
        <f t="shared" si="43"/>
        <v>哑资源设备_661</v>
      </c>
      <c r="G664" s="10" t="s">
        <v>406</v>
      </c>
      <c r="H664" s="3" t="str">
        <f>"检测机架"&amp;INDEX([1]机架!$D:$D,C664+3)&amp;IF(D664&lt;&gt;"","和"&amp;INDEX([1]机架!$D:$D,D664+3),"")&amp;"的数据"</f>
        <v>检测机架齐河务头の机架-4和齐河务头の机架-5的数据</v>
      </c>
      <c r="I664" s="3">
        <f>INDEX([1]机架!$C:$C,C664+3)</f>
        <v>3714012121</v>
      </c>
      <c r="J664" s="3">
        <f>IF(D664&lt;&gt;"",INDEX([1]机架!$C:$C,D664+3),0)</f>
        <v>3714012122</v>
      </c>
    </row>
    <row r="665" spans="1:10" ht="16.5" x14ac:dyDescent="0.2">
      <c r="A665" s="3" t="s">
        <v>393</v>
      </c>
      <c r="B665" s="3">
        <v>662</v>
      </c>
      <c r="C665" s="3">
        <f t="shared" si="41"/>
        <v>1323</v>
      </c>
      <c r="D665" s="3">
        <f t="shared" si="42"/>
        <v>1324</v>
      </c>
      <c r="E665" s="3" t="str">
        <f t="shared" si="40"/>
        <v>dump:3212104173&amp;1312104173</v>
      </c>
      <c r="F665" s="3" t="str">
        <f t="shared" si="43"/>
        <v>哑资源设备_662</v>
      </c>
      <c r="G665" s="10" t="s">
        <v>406</v>
      </c>
      <c r="H665" s="3" t="str">
        <f>"检测机架"&amp;INDEX([1]机架!$D:$D,C665+3)&amp;IF(D665&lt;&gt;"","和"&amp;INDEX([1]机架!$D:$D,D665+3),"")&amp;"的数据"</f>
        <v>检测机架齐河务头の机架-6和齐河务头の机架-7的数据</v>
      </c>
      <c r="I665" s="3">
        <f>INDEX([1]机架!$C:$C,C665+3)</f>
        <v>3714012123</v>
      </c>
      <c r="J665" s="3">
        <f>IF(D665&lt;&gt;"",INDEX([1]机架!$C:$C,D665+3),0)</f>
        <v>3714012131</v>
      </c>
    </row>
    <row r="666" spans="1:10" ht="16.5" x14ac:dyDescent="0.2">
      <c r="A666" s="3" t="s">
        <v>393</v>
      </c>
      <c r="B666" s="3">
        <v>663</v>
      </c>
      <c r="C666" s="3">
        <f t="shared" si="41"/>
        <v>1325</v>
      </c>
      <c r="D666" s="3">
        <f t="shared" si="42"/>
        <v>1326</v>
      </c>
      <c r="E666" s="3" t="str">
        <f t="shared" si="40"/>
        <v>dump:2312104173&amp;3312104173</v>
      </c>
      <c r="F666" s="3" t="str">
        <f t="shared" si="43"/>
        <v>哑资源设备_663</v>
      </c>
      <c r="G666" s="10" t="s">
        <v>406</v>
      </c>
      <c r="H666" s="3" t="str">
        <f>"检测机架"&amp;INDEX([1]机架!$D:$D,C666+3)&amp;IF(D666&lt;&gt;"","和"&amp;INDEX([1]机架!$D:$D,D666+3),"")&amp;"的数据"</f>
        <v>检测机架齐河务头の机架-8和齐河务头の机架-9的数据</v>
      </c>
      <c r="I666" s="3">
        <f>INDEX([1]机架!$C:$C,C666+3)</f>
        <v>3714012132</v>
      </c>
      <c r="J666" s="3">
        <f>IF(D666&lt;&gt;"",INDEX([1]机架!$C:$C,D666+3),0)</f>
        <v>3714012133</v>
      </c>
    </row>
    <row r="667" spans="1:10" ht="16.5" x14ac:dyDescent="0.2">
      <c r="A667" s="3" t="s">
        <v>393</v>
      </c>
      <c r="B667" s="3">
        <v>664</v>
      </c>
      <c r="C667" s="3">
        <f t="shared" si="41"/>
        <v>1327</v>
      </c>
      <c r="D667" s="3">
        <f t="shared" si="42"/>
        <v>1328</v>
      </c>
      <c r="E667" s="3" t="str">
        <f t="shared" si="40"/>
        <v>dump:1113104173&amp;2113104173</v>
      </c>
      <c r="F667" s="3" t="str">
        <f t="shared" si="43"/>
        <v>哑资源设备_664</v>
      </c>
      <c r="G667" s="10" t="s">
        <v>406</v>
      </c>
      <c r="H667" s="3" t="str">
        <f>"检测机架"&amp;INDEX([1]机架!$D:$D,C667+3)&amp;IF(D667&lt;&gt;"","和"&amp;INDEX([1]机架!$D:$D,D667+3),"")&amp;"的数据"</f>
        <v>检测机架禹城行政街の机架-1和禹城行政街の机架-2的数据</v>
      </c>
      <c r="I667" s="3">
        <f>INDEX([1]机架!$C:$C,C667+3)</f>
        <v>3714013111</v>
      </c>
      <c r="J667" s="3">
        <f>IF(D667&lt;&gt;"",INDEX([1]机架!$C:$C,D667+3),0)</f>
        <v>3714013112</v>
      </c>
    </row>
    <row r="668" spans="1:10" ht="16.5" x14ac:dyDescent="0.2">
      <c r="A668" s="3" t="s">
        <v>393</v>
      </c>
      <c r="B668" s="3">
        <v>665</v>
      </c>
      <c r="C668" s="3">
        <f t="shared" si="41"/>
        <v>1329</v>
      </c>
      <c r="D668" s="3">
        <f t="shared" si="42"/>
        <v>1330</v>
      </c>
      <c r="E668" s="3" t="str">
        <f t="shared" si="40"/>
        <v>dump:3113104173&amp;1213104173</v>
      </c>
      <c r="F668" s="3" t="str">
        <f t="shared" si="43"/>
        <v>哑资源设备_665</v>
      </c>
      <c r="G668" s="10" t="s">
        <v>406</v>
      </c>
      <c r="H668" s="3" t="str">
        <f>"检测机架"&amp;INDEX([1]机架!$D:$D,C668+3)&amp;IF(D668&lt;&gt;"","和"&amp;INDEX([1]机架!$D:$D,D668+3),"")&amp;"的数据"</f>
        <v>检测机架禹城行政街の机架-3和禹城行政街の机架-4的数据</v>
      </c>
      <c r="I668" s="3">
        <f>INDEX([1]机架!$C:$C,C668+3)</f>
        <v>3714013113</v>
      </c>
      <c r="J668" s="3">
        <f>IF(D668&lt;&gt;"",INDEX([1]机架!$C:$C,D668+3),0)</f>
        <v>3714013121</v>
      </c>
    </row>
    <row r="669" spans="1:10" ht="16.5" x14ac:dyDescent="0.2">
      <c r="A669" s="3" t="s">
        <v>393</v>
      </c>
      <c r="B669" s="3">
        <v>666</v>
      </c>
      <c r="C669" s="3">
        <f t="shared" si="41"/>
        <v>1331</v>
      </c>
      <c r="D669" s="3">
        <f t="shared" si="42"/>
        <v>1332</v>
      </c>
      <c r="E669" s="3" t="str">
        <f t="shared" si="40"/>
        <v>dump:2213104173&amp;3213104173</v>
      </c>
      <c r="F669" s="3" t="str">
        <f t="shared" si="43"/>
        <v>哑资源设备_666</v>
      </c>
      <c r="G669" s="10" t="s">
        <v>406</v>
      </c>
      <c r="H669" s="3" t="str">
        <f>"检测机架"&amp;INDEX([1]机架!$D:$D,C669+3)&amp;IF(D669&lt;&gt;"","和"&amp;INDEX([1]机架!$D:$D,D669+3),"")&amp;"的数据"</f>
        <v>检测机架禹城行政街の机架-5和禹城行政街の机架-6的数据</v>
      </c>
      <c r="I669" s="3">
        <f>INDEX([1]机架!$C:$C,C669+3)</f>
        <v>3714013122</v>
      </c>
      <c r="J669" s="3">
        <f>IF(D669&lt;&gt;"",INDEX([1]机架!$C:$C,D669+3),0)</f>
        <v>3714013123</v>
      </c>
    </row>
    <row r="670" spans="1:10" ht="16.5" x14ac:dyDescent="0.2">
      <c r="A670" s="3" t="s">
        <v>393</v>
      </c>
      <c r="B670" s="3">
        <v>667</v>
      </c>
      <c r="C670" s="3">
        <f t="shared" si="41"/>
        <v>1333</v>
      </c>
      <c r="D670" s="3">
        <f t="shared" si="42"/>
        <v>1334</v>
      </c>
      <c r="E670" s="3" t="str">
        <f t="shared" si="40"/>
        <v>dump:1313104173&amp;2313104173</v>
      </c>
      <c r="F670" s="3" t="str">
        <f t="shared" si="43"/>
        <v>哑资源设备_667</v>
      </c>
      <c r="G670" s="10" t="s">
        <v>406</v>
      </c>
      <c r="H670" s="3" t="str">
        <f>"检测机架"&amp;INDEX([1]机架!$D:$D,C670+3)&amp;IF(D670&lt;&gt;"","和"&amp;INDEX([1]机架!$D:$D,D670+3),"")&amp;"的数据"</f>
        <v>检测机架禹城行政街の机架-7和禹城行政街の机架-8的数据</v>
      </c>
      <c r="I670" s="3">
        <f>INDEX([1]机架!$C:$C,C670+3)</f>
        <v>3714013131</v>
      </c>
      <c r="J670" s="3">
        <f>IF(D670&lt;&gt;"",INDEX([1]机架!$C:$C,D670+3),0)</f>
        <v>3714013132</v>
      </c>
    </row>
    <row r="671" spans="1:10" ht="16.5" x14ac:dyDescent="0.2">
      <c r="A671" s="3" t="s">
        <v>393</v>
      </c>
      <c r="B671" s="3">
        <v>668</v>
      </c>
      <c r="C671" s="3">
        <f t="shared" si="41"/>
        <v>1335</v>
      </c>
      <c r="D671" s="3">
        <f t="shared" si="42"/>
        <v>1336</v>
      </c>
      <c r="E671" s="3" t="str">
        <f t="shared" si="40"/>
        <v>dump:3313104173&amp;1114104173</v>
      </c>
      <c r="F671" s="3" t="str">
        <f t="shared" si="43"/>
        <v>哑资源设备_668</v>
      </c>
      <c r="G671" s="10" t="s">
        <v>406</v>
      </c>
      <c r="H671" s="3" t="str">
        <f>"检测机架"&amp;INDEX([1]机架!$D:$D,C671+3)&amp;IF(D671&lt;&gt;"","和"&amp;INDEX([1]机架!$D:$D,D671+3),"")&amp;"的数据"</f>
        <v>检测机架禹城行政街の机架-9和禹城火车站の机架-1的数据</v>
      </c>
      <c r="I671" s="3">
        <f>INDEX([1]机架!$C:$C,C671+3)</f>
        <v>3714013133</v>
      </c>
      <c r="J671" s="3">
        <f>IF(D671&lt;&gt;"",INDEX([1]机架!$C:$C,D671+3),0)</f>
        <v>3714014111</v>
      </c>
    </row>
    <row r="672" spans="1:10" ht="16.5" x14ac:dyDescent="0.2">
      <c r="A672" s="3" t="s">
        <v>393</v>
      </c>
      <c r="B672" s="3">
        <v>669</v>
      </c>
      <c r="C672" s="3">
        <f t="shared" si="41"/>
        <v>1337</v>
      </c>
      <c r="D672" s="3">
        <f t="shared" si="42"/>
        <v>1338</v>
      </c>
      <c r="E672" s="3" t="str">
        <f t="shared" si="40"/>
        <v>dump:2114104173&amp;3114104173</v>
      </c>
      <c r="F672" s="3" t="str">
        <f t="shared" si="43"/>
        <v>哑资源设备_669</v>
      </c>
      <c r="G672" s="10" t="s">
        <v>406</v>
      </c>
      <c r="H672" s="3" t="str">
        <f>"检测机架"&amp;INDEX([1]机架!$D:$D,C672+3)&amp;IF(D672&lt;&gt;"","和"&amp;INDEX([1]机架!$D:$D,D672+3),"")&amp;"的数据"</f>
        <v>检测机架禹城火车站の机架-2和禹城火车站の机架-3的数据</v>
      </c>
      <c r="I672" s="3">
        <f>INDEX([1]机架!$C:$C,C672+3)</f>
        <v>3714014112</v>
      </c>
      <c r="J672" s="3">
        <f>IF(D672&lt;&gt;"",INDEX([1]机架!$C:$C,D672+3),0)</f>
        <v>3714014113</v>
      </c>
    </row>
    <row r="673" spans="1:10" ht="16.5" x14ac:dyDescent="0.2">
      <c r="A673" s="3" t="s">
        <v>393</v>
      </c>
      <c r="B673" s="3">
        <v>670</v>
      </c>
      <c r="C673" s="3">
        <f t="shared" si="41"/>
        <v>1339</v>
      </c>
      <c r="D673" s="3">
        <f t="shared" si="42"/>
        <v>1340</v>
      </c>
      <c r="E673" s="3" t="str">
        <f t="shared" si="40"/>
        <v>dump:1214104173&amp;2214104173</v>
      </c>
      <c r="F673" s="3" t="str">
        <f t="shared" si="43"/>
        <v>哑资源设备_670</v>
      </c>
      <c r="G673" s="10" t="s">
        <v>406</v>
      </c>
      <c r="H673" s="3" t="str">
        <f>"检测机架"&amp;INDEX([1]机架!$D:$D,C673+3)&amp;IF(D673&lt;&gt;"","和"&amp;INDEX([1]机架!$D:$D,D673+3),"")&amp;"的数据"</f>
        <v>检测机架禹城火车站の机架-4和禹城火车站の机架-5的数据</v>
      </c>
      <c r="I673" s="3">
        <f>INDEX([1]机架!$C:$C,C673+3)</f>
        <v>3714014121</v>
      </c>
      <c r="J673" s="3">
        <f>IF(D673&lt;&gt;"",INDEX([1]机架!$C:$C,D673+3),0)</f>
        <v>3714014122</v>
      </c>
    </row>
    <row r="674" spans="1:10" ht="16.5" x14ac:dyDescent="0.2">
      <c r="A674" s="3" t="s">
        <v>393</v>
      </c>
      <c r="B674" s="3">
        <v>671</v>
      </c>
      <c r="C674" s="3">
        <f t="shared" si="41"/>
        <v>1341</v>
      </c>
      <c r="D674" s="3">
        <f t="shared" si="42"/>
        <v>1342</v>
      </c>
      <c r="E674" s="3" t="str">
        <f t="shared" si="40"/>
        <v>dump:3214104173&amp;1314104173</v>
      </c>
      <c r="F674" s="3" t="str">
        <f t="shared" si="43"/>
        <v>哑资源设备_671</v>
      </c>
      <c r="G674" s="10" t="s">
        <v>406</v>
      </c>
      <c r="H674" s="3" t="str">
        <f>"检测机架"&amp;INDEX([1]机架!$D:$D,C674+3)&amp;IF(D674&lt;&gt;"","和"&amp;INDEX([1]机架!$D:$D,D674+3),"")&amp;"的数据"</f>
        <v>检测机架禹城火车站の机架-6和禹城火车站の机架-7的数据</v>
      </c>
      <c r="I674" s="3">
        <f>INDEX([1]机架!$C:$C,C674+3)</f>
        <v>3714014123</v>
      </c>
      <c r="J674" s="3">
        <f>IF(D674&lt;&gt;"",INDEX([1]机架!$C:$C,D674+3),0)</f>
        <v>3714014131</v>
      </c>
    </row>
    <row r="675" spans="1:10" ht="16.5" x14ac:dyDescent="0.2">
      <c r="A675" s="3" t="s">
        <v>393</v>
      </c>
      <c r="B675" s="3">
        <v>672</v>
      </c>
      <c r="C675" s="3">
        <f t="shared" si="41"/>
        <v>1343</v>
      </c>
      <c r="D675" s="3">
        <f t="shared" si="42"/>
        <v>1344</v>
      </c>
      <c r="E675" s="3" t="str">
        <f t="shared" si="40"/>
        <v>dump:2314104173&amp;3314104173</v>
      </c>
      <c r="F675" s="3" t="str">
        <f t="shared" si="43"/>
        <v>哑资源设备_672</v>
      </c>
      <c r="G675" s="10" t="s">
        <v>406</v>
      </c>
      <c r="H675" s="3" t="str">
        <f>"检测机架"&amp;INDEX([1]机架!$D:$D,C675+3)&amp;IF(D675&lt;&gt;"","和"&amp;INDEX([1]机架!$D:$D,D675+3),"")&amp;"的数据"</f>
        <v>检测机架禹城火车站の机架-8和禹城火车站の机架-9的数据</v>
      </c>
      <c r="I675" s="3">
        <f>INDEX([1]机架!$C:$C,C675+3)</f>
        <v>3714014132</v>
      </c>
      <c r="J675" s="3">
        <f>IF(D675&lt;&gt;"",INDEX([1]机架!$C:$C,D675+3),0)</f>
        <v>3714014133</v>
      </c>
    </row>
    <row r="676" spans="1:10" ht="16.5" x14ac:dyDescent="0.2">
      <c r="A676" s="3" t="s">
        <v>393</v>
      </c>
      <c r="B676" s="3">
        <v>673</v>
      </c>
      <c r="C676" s="3">
        <f t="shared" si="41"/>
        <v>1345</v>
      </c>
      <c r="D676" s="3">
        <f t="shared" si="42"/>
        <v>1346</v>
      </c>
      <c r="E676" s="3" t="str">
        <f t="shared" si="40"/>
        <v>dump:1115104173&amp;2115104173</v>
      </c>
      <c r="F676" s="3" t="str">
        <f t="shared" si="43"/>
        <v>哑资源设备_673</v>
      </c>
      <c r="G676" s="10" t="s">
        <v>406</v>
      </c>
      <c r="H676" s="3" t="str">
        <f>"检测机架"&amp;INDEX([1]机架!$D:$D,C676+3)&amp;IF(D676&lt;&gt;"","和"&amp;INDEX([1]机架!$D:$D,D676+3),"")&amp;"的数据"</f>
        <v>检测机架平原平安大街の机架-1和平原平安大街の机架-2的数据</v>
      </c>
      <c r="I676" s="3">
        <f>INDEX([1]机架!$C:$C,C676+3)</f>
        <v>3714015111</v>
      </c>
      <c r="J676" s="3">
        <f>IF(D676&lt;&gt;"",INDEX([1]机架!$C:$C,D676+3),0)</f>
        <v>3714015112</v>
      </c>
    </row>
    <row r="677" spans="1:10" ht="16.5" x14ac:dyDescent="0.2">
      <c r="A677" s="3" t="s">
        <v>393</v>
      </c>
      <c r="B677" s="3">
        <v>674</v>
      </c>
      <c r="C677" s="3">
        <f t="shared" si="41"/>
        <v>1347</v>
      </c>
      <c r="D677" s="3">
        <f t="shared" si="42"/>
        <v>1348</v>
      </c>
      <c r="E677" s="3" t="str">
        <f t="shared" si="40"/>
        <v>dump:3115104173&amp;1215104173</v>
      </c>
      <c r="F677" s="3" t="str">
        <f t="shared" si="43"/>
        <v>哑资源设备_674</v>
      </c>
      <c r="G677" s="10" t="s">
        <v>406</v>
      </c>
      <c r="H677" s="3" t="str">
        <f>"检测机架"&amp;INDEX([1]机架!$D:$D,C677+3)&amp;IF(D677&lt;&gt;"","和"&amp;INDEX([1]机架!$D:$D,D677+3),"")&amp;"的数据"</f>
        <v>检测机架平原平安大街の机架-3和平原平安大街の机架-4的数据</v>
      </c>
      <c r="I677" s="3">
        <f>INDEX([1]机架!$C:$C,C677+3)</f>
        <v>3714015113</v>
      </c>
      <c r="J677" s="3">
        <f>IF(D677&lt;&gt;"",INDEX([1]机架!$C:$C,D677+3),0)</f>
        <v>3714015121</v>
      </c>
    </row>
    <row r="678" spans="1:10" ht="16.5" x14ac:dyDescent="0.2">
      <c r="A678" s="3" t="s">
        <v>393</v>
      </c>
      <c r="B678" s="3">
        <v>675</v>
      </c>
      <c r="C678" s="3">
        <f t="shared" si="41"/>
        <v>1349</v>
      </c>
      <c r="D678" s="3">
        <f t="shared" si="42"/>
        <v>1350</v>
      </c>
      <c r="E678" s="3" t="str">
        <f t="shared" si="40"/>
        <v>dump:2215104173&amp;3215104173</v>
      </c>
      <c r="F678" s="3" t="str">
        <f t="shared" si="43"/>
        <v>哑资源设备_675</v>
      </c>
      <c r="G678" s="10" t="s">
        <v>406</v>
      </c>
      <c r="H678" s="3" t="str">
        <f>"检测机架"&amp;INDEX([1]机架!$D:$D,C678+3)&amp;IF(D678&lt;&gt;"","和"&amp;INDEX([1]机架!$D:$D,D678+3),"")&amp;"的数据"</f>
        <v>检测机架平原平安大街の机架-5和平原平安大街の机架-6的数据</v>
      </c>
      <c r="I678" s="3">
        <f>INDEX([1]机架!$C:$C,C678+3)</f>
        <v>3714015122</v>
      </c>
      <c r="J678" s="3">
        <f>IF(D678&lt;&gt;"",INDEX([1]机架!$C:$C,D678+3),0)</f>
        <v>3714015123</v>
      </c>
    </row>
    <row r="679" spans="1:10" ht="16.5" x14ac:dyDescent="0.2">
      <c r="A679" s="3" t="s">
        <v>393</v>
      </c>
      <c r="B679" s="3">
        <v>676</v>
      </c>
      <c r="C679" s="3">
        <f t="shared" si="41"/>
        <v>1351</v>
      </c>
      <c r="D679" s="3">
        <f t="shared" si="42"/>
        <v>1352</v>
      </c>
      <c r="E679" s="3" t="str">
        <f t="shared" si="40"/>
        <v>dump:1315104173&amp;2315104173</v>
      </c>
      <c r="F679" s="3" t="str">
        <f t="shared" si="43"/>
        <v>哑资源设备_676</v>
      </c>
      <c r="G679" s="10" t="s">
        <v>406</v>
      </c>
      <c r="H679" s="3" t="str">
        <f>"检测机架"&amp;INDEX([1]机架!$D:$D,C679+3)&amp;IF(D679&lt;&gt;"","和"&amp;INDEX([1]机架!$D:$D,D679+3),"")&amp;"的数据"</f>
        <v>检测机架平原平安大街の机架-7和平原平安大街の机架-8的数据</v>
      </c>
      <c r="I679" s="3">
        <f>INDEX([1]机架!$C:$C,C679+3)</f>
        <v>3714015131</v>
      </c>
      <c r="J679" s="3">
        <f>IF(D679&lt;&gt;"",INDEX([1]机架!$C:$C,D679+3),0)</f>
        <v>3714015132</v>
      </c>
    </row>
    <row r="680" spans="1:10" ht="16.5" x14ac:dyDescent="0.2">
      <c r="A680" s="3" t="s">
        <v>393</v>
      </c>
      <c r="B680" s="3">
        <v>677</v>
      </c>
      <c r="C680" s="3">
        <f t="shared" si="41"/>
        <v>1353</v>
      </c>
      <c r="D680" s="3">
        <f t="shared" si="42"/>
        <v>1354</v>
      </c>
      <c r="E680" s="3" t="str">
        <f t="shared" si="40"/>
        <v>dump:3315104173&amp;1111005173</v>
      </c>
      <c r="F680" s="3" t="str">
        <f t="shared" si="43"/>
        <v>哑资源设备_677</v>
      </c>
      <c r="G680" s="10" t="s">
        <v>406</v>
      </c>
      <c r="H680" s="3" t="str">
        <f>"检测机架"&amp;INDEX([1]机架!$D:$D,C680+3)&amp;IF(D680&lt;&gt;"","和"&amp;INDEX([1]机架!$D:$D,D680+3),"")&amp;"的数据"</f>
        <v>检测机架平原平安大街の机架-9和聊城东昌西路の机架-1的数据</v>
      </c>
      <c r="I680" s="3">
        <f>INDEX([1]机架!$C:$C,C680+3)</f>
        <v>3714015133</v>
      </c>
      <c r="J680" s="3">
        <f>IF(D680&lt;&gt;"",INDEX([1]机架!$C:$C,D680+3),0)</f>
        <v>3715001111</v>
      </c>
    </row>
    <row r="681" spans="1:10" ht="16.5" x14ac:dyDescent="0.2">
      <c r="A681" s="3" t="s">
        <v>393</v>
      </c>
      <c r="B681" s="3">
        <v>678</v>
      </c>
      <c r="C681" s="3">
        <f t="shared" si="41"/>
        <v>1355</v>
      </c>
      <c r="D681" s="3">
        <f t="shared" si="42"/>
        <v>1356</v>
      </c>
      <c r="E681" s="3" t="str">
        <f t="shared" si="40"/>
        <v>dump:2111005173&amp;3111005173</v>
      </c>
      <c r="F681" s="3" t="str">
        <f t="shared" si="43"/>
        <v>哑资源设备_678</v>
      </c>
      <c r="G681" s="10" t="s">
        <v>406</v>
      </c>
      <c r="H681" s="3" t="str">
        <f>"检测机架"&amp;INDEX([1]机架!$D:$D,C681+3)&amp;IF(D681&lt;&gt;"","和"&amp;INDEX([1]机架!$D:$D,D681+3),"")&amp;"的数据"</f>
        <v>检测机架聊城东昌西路の机架-2和聊城东昌西路の机架-3的数据</v>
      </c>
      <c r="I681" s="3">
        <f>INDEX([1]机架!$C:$C,C681+3)</f>
        <v>3715001112</v>
      </c>
      <c r="J681" s="3">
        <f>IF(D681&lt;&gt;"",INDEX([1]机架!$C:$C,D681+3),0)</f>
        <v>3715001113</v>
      </c>
    </row>
    <row r="682" spans="1:10" ht="16.5" x14ac:dyDescent="0.2">
      <c r="A682" s="3" t="s">
        <v>393</v>
      </c>
      <c r="B682" s="3">
        <v>679</v>
      </c>
      <c r="C682" s="3">
        <f t="shared" si="41"/>
        <v>1357</v>
      </c>
      <c r="D682" s="3">
        <f t="shared" si="42"/>
        <v>1358</v>
      </c>
      <c r="E682" s="3" t="str">
        <f t="shared" si="40"/>
        <v>dump:1211005173&amp;2211005173</v>
      </c>
      <c r="F682" s="3" t="str">
        <f t="shared" si="43"/>
        <v>哑资源设备_679</v>
      </c>
      <c r="G682" s="10" t="s">
        <v>406</v>
      </c>
      <c r="H682" s="3" t="str">
        <f>"检测机架"&amp;INDEX([1]机架!$D:$D,C682+3)&amp;IF(D682&lt;&gt;"","和"&amp;INDEX([1]机架!$D:$D,D682+3),"")&amp;"的数据"</f>
        <v>检测机架聊城东昌西路の机架-4和聊城东昌西路の机架-5的数据</v>
      </c>
      <c r="I682" s="3">
        <f>INDEX([1]机架!$C:$C,C682+3)</f>
        <v>3715001121</v>
      </c>
      <c r="J682" s="3">
        <f>IF(D682&lt;&gt;"",INDEX([1]机架!$C:$C,D682+3),0)</f>
        <v>3715001122</v>
      </c>
    </row>
    <row r="683" spans="1:10" ht="16.5" x14ac:dyDescent="0.2">
      <c r="A683" s="3" t="s">
        <v>393</v>
      </c>
      <c r="B683" s="3">
        <v>680</v>
      </c>
      <c r="C683" s="3">
        <f t="shared" si="41"/>
        <v>1359</v>
      </c>
      <c r="D683" s="3">
        <f t="shared" si="42"/>
        <v>1360</v>
      </c>
      <c r="E683" s="3" t="str">
        <f t="shared" si="40"/>
        <v>dump:3211005173&amp;1311005173</v>
      </c>
      <c r="F683" s="3" t="str">
        <f t="shared" si="43"/>
        <v>哑资源设备_680</v>
      </c>
      <c r="G683" s="10" t="s">
        <v>406</v>
      </c>
      <c r="H683" s="3" t="str">
        <f>"检测机架"&amp;INDEX([1]机架!$D:$D,C683+3)&amp;IF(D683&lt;&gt;"","和"&amp;INDEX([1]机架!$D:$D,D683+3),"")&amp;"的数据"</f>
        <v>检测机架聊城东昌西路の机架-6和聊城东昌西路の机架-7的数据</v>
      </c>
      <c r="I683" s="3">
        <f>INDEX([1]机架!$C:$C,C683+3)</f>
        <v>3715001123</v>
      </c>
      <c r="J683" s="3">
        <f>IF(D683&lt;&gt;"",INDEX([1]机架!$C:$C,D683+3),0)</f>
        <v>3715001131</v>
      </c>
    </row>
    <row r="684" spans="1:10" ht="16.5" x14ac:dyDescent="0.2">
      <c r="A684" s="3" t="s">
        <v>393</v>
      </c>
      <c r="B684" s="3">
        <v>681</v>
      </c>
      <c r="C684" s="3">
        <f t="shared" si="41"/>
        <v>1361</v>
      </c>
      <c r="D684" s="3">
        <f t="shared" si="42"/>
        <v>1362</v>
      </c>
      <c r="E684" s="3" t="str">
        <f t="shared" si="40"/>
        <v>dump:2311005173&amp;3311005173</v>
      </c>
      <c r="F684" s="3" t="str">
        <f t="shared" si="43"/>
        <v>哑资源设备_681</v>
      </c>
      <c r="G684" s="10" t="s">
        <v>406</v>
      </c>
      <c r="H684" s="3" t="str">
        <f>"检测机架"&amp;INDEX([1]机架!$D:$D,C684+3)&amp;IF(D684&lt;&gt;"","和"&amp;INDEX([1]机架!$D:$D,D684+3),"")&amp;"的数据"</f>
        <v>检测机架聊城东昌西路の机架-8和聊城东昌西路の机架-9的数据</v>
      </c>
      <c r="I684" s="3">
        <f>INDEX([1]机架!$C:$C,C684+3)</f>
        <v>3715001132</v>
      </c>
      <c r="J684" s="3">
        <f>IF(D684&lt;&gt;"",INDEX([1]机架!$C:$C,D684+3),0)</f>
        <v>3715001133</v>
      </c>
    </row>
    <row r="685" spans="1:10" ht="16.5" x14ac:dyDescent="0.2">
      <c r="A685" s="3" t="s">
        <v>393</v>
      </c>
      <c r="B685" s="3">
        <v>682</v>
      </c>
      <c r="C685" s="3">
        <f t="shared" si="41"/>
        <v>1363</v>
      </c>
      <c r="D685" s="3">
        <f t="shared" si="42"/>
        <v>1364</v>
      </c>
      <c r="E685" s="3" t="str">
        <f t="shared" si="40"/>
        <v>dump:1121005173&amp;2121005173</v>
      </c>
      <c r="F685" s="3" t="str">
        <f t="shared" si="43"/>
        <v>哑资源设备_682</v>
      </c>
      <c r="G685" s="10" t="s">
        <v>406</v>
      </c>
      <c r="H685" s="3" t="str">
        <f>"检测机架"&amp;INDEX([1]机架!$D:$D,C685+3)&amp;IF(D685&lt;&gt;"","和"&amp;INDEX([1]机架!$D:$D,D685+3),"")&amp;"的数据"</f>
        <v>检测机架聊城东昌西路の机架-10和聊城东昌西路の机架-11的数据</v>
      </c>
      <c r="I685" s="3">
        <f>INDEX([1]机架!$C:$C,C685+3)</f>
        <v>3715001211</v>
      </c>
      <c r="J685" s="3">
        <f>IF(D685&lt;&gt;"",INDEX([1]机架!$C:$C,D685+3),0)</f>
        <v>3715001212</v>
      </c>
    </row>
    <row r="686" spans="1:10" ht="16.5" x14ac:dyDescent="0.2">
      <c r="A686" s="3" t="s">
        <v>393</v>
      </c>
      <c r="B686" s="3">
        <v>683</v>
      </c>
      <c r="C686" s="3">
        <f t="shared" si="41"/>
        <v>1365</v>
      </c>
      <c r="D686" s="3">
        <f t="shared" si="42"/>
        <v>1366</v>
      </c>
      <c r="E686" s="3" t="str">
        <f t="shared" si="40"/>
        <v>dump:3121005173&amp;1221005173</v>
      </c>
      <c r="F686" s="3" t="str">
        <f t="shared" si="43"/>
        <v>哑资源设备_683</v>
      </c>
      <c r="G686" s="10" t="s">
        <v>406</v>
      </c>
      <c r="H686" s="3" t="str">
        <f>"检测机架"&amp;INDEX([1]机架!$D:$D,C686+3)&amp;IF(D686&lt;&gt;"","和"&amp;INDEX([1]机架!$D:$D,D686+3),"")&amp;"的数据"</f>
        <v>检测机架聊城东昌西路の机架-12和聊城东昌西路の机架-13的数据</v>
      </c>
      <c r="I686" s="3">
        <f>INDEX([1]机架!$C:$C,C686+3)</f>
        <v>3715001213</v>
      </c>
      <c r="J686" s="3">
        <f>IF(D686&lt;&gt;"",INDEX([1]机架!$C:$C,D686+3),0)</f>
        <v>3715001221</v>
      </c>
    </row>
    <row r="687" spans="1:10" ht="16.5" x14ac:dyDescent="0.2">
      <c r="A687" s="3" t="s">
        <v>393</v>
      </c>
      <c r="B687" s="3">
        <v>684</v>
      </c>
      <c r="C687" s="3">
        <f t="shared" si="41"/>
        <v>1367</v>
      </c>
      <c r="D687" s="3">
        <f t="shared" si="42"/>
        <v>1368</v>
      </c>
      <c r="E687" s="3" t="str">
        <f t="shared" si="40"/>
        <v>dump:2221005173&amp;3221005173</v>
      </c>
      <c r="F687" s="3" t="str">
        <f t="shared" si="43"/>
        <v>哑资源设备_684</v>
      </c>
      <c r="G687" s="10" t="s">
        <v>406</v>
      </c>
      <c r="H687" s="3" t="str">
        <f>"检测机架"&amp;INDEX([1]机架!$D:$D,C687+3)&amp;IF(D687&lt;&gt;"","和"&amp;INDEX([1]机架!$D:$D,D687+3),"")&amp;"的数据"</f>
        <v>检测机架聊城东昌西路の机架-14和聊城东昌西路の机架-15的数据</v>
      </c>
      <c r="I687" s="3">
        <f>INDEX([1]机架!$C:$C,C687+3)</f>
        <v>3715001222</v>
      </c>
      <c r="J687" s="3">
        <f>IF(D687&lt;&gt;"",INDEX([1]机架!$C:$C,D687+3),0)</f>
        <v>3715001223</v>
      </c>
    </row>
    <row r="688" spans="1:10" ht="16.5" x14ac:dyDescent="0.2">
      <c r="A688" s="3" t="s">
        <v>393</v>
      </c>
      <c r="B688" s="3">
        <v>685</v>
      </c>
      <c r="C688" s="3">
        <f t="shared" si="41"/>
        <v>1369</v>
      </c>
      <c r="D688" s="3">
        <f t="shared" si="42"/>
        <v>1370</v>
      </c>
      <c r="E688" s="3" t="str">
        <f t="shared" si="40"/>
        <v>dump:1321005173&amp;2321005173</v>
      </c>
      <c r="F688" s="3" t="str">
        <f t="shared" si="43"/>
        <v>哑资源设备_685</v>
      </c>
      <c r="G688" s="10" t="s">
        <v>406</v>
      </c>
      <c r="H688" s="3" t="str">
        <f>"检测机架"&amp;INDEX([1]机架!$D:$D,C688+3)&amp;IF(D688&lt;&gt;"","和"&amp;INDEX([1]机架!$D:$D,D688+3),"")&amp;"的数据"</f>
        <v>检测机架聊城东昌西路の机架-16和聊城东昌西路の机架-17的数据</v>
      </c>
      <c r="I688" s="3">
        <f>INDEX([1]机架!$C:$C,C688+3)</f>
        <v>3715001231</v>
      </c>
      <c r="J688" s="3">
        <f>IF(D688&lt;&gt;"",INDEX([1]机架!$C:$C,D688+3),0)</f>
        <v>3715001232</v>
      </c>
    </row>
    <row r="689" spans="1:10" ht="16.5" x14ac:dyDescent="0.2">
      <c r="A689" s="3" t="s">
        <v>393</v>
      </c>
      <c r="B689" s="3">
        <v>686</v>
      </c>
      <c r="C689" s="3">
        <f t="shared" si="41"/>
        <v>1371</v>
      </c>
      <c r="D689" s="3">
        <f t="shared" si="42"/>
        <v>1372</v>
      </c>
      <c r="E689" s="3" t="str">
        <f t="shared" si="40"/>
        <v>dump:3321005173&amp;1112005173</v>
      </c>
      <c r="F689" s="3" t="str">
        <f t="shared" si="43"/>
        <v>哑资源设备_686</v>
      </c>
      <c r="G689" s="10" t="s">
        <v>406</v>
      </c>
      <c r="H689" s="3" t="str">
        <f>"检测机架"&amp;INDEX([1]机架!$D:$D,C689+3)&amp;IF(D689&lt;&gt;"","和"&amp;INDEX([1]机架!$D:$D,D689+3),"")&amp;"的数据"</f>
        <v>检测机架聊城东昌西路の机架-18和聊城龙山路の机架-1的数据</v>
      </c>
      <c r="I689" s="3">
        <f>INDEX([1]机架!$C:$C,C689+3)</f>
        <v>3715001233</v>
      </c>
      <c r="J689" s="3">
        <f>IF(D689&lt;&gt;"",INDEX([1]机架!$C:$C,D689+3),0)</f>
        <v>3715002111</v>
      </c>
    </row>
    <row r="690" spans="1:10" ht="16.5" x14ac:dyDescent="0.2">
      <c r="A690" s="3" t="s">
        <v>393</v>
      </c>
      <c r="B690" s="3">
        <v>687</v>
      </c>
      <c r="C690" s="3">
        <f t="shared" si="41"/>
        <v>1373</v>
      </c>
      <c r="D690" s="3">
        <f t="shared" si="42"/>
        <v>1374</v>
      </c>
      <c r="E690" s="3" t="str">
        <f t="shared" si="40"/>
        <v>dump:2112005173&amp;3112005173</v>
      </c>
      <c r="F690" s="3" t="str">
        <f t="shared" si="43"/>
        <v>哑资源设备_687</v>
      </c>
      <c r="G690" s="10" t="s">
        <v>406</v>
      </c>
      <c r="H690" s="3" t="str">
        <f>"检测机架"&amp;INDEX([1]机架!$D:$D,C690+3)&amp;IF(D690&lt;&gt;"","和"&amp;INDEX([1]机架!$D:$D,D690+3),"")&amp;"的数据"</f>
        <v>检测机架聊城龙山路の机架-2和聊城龙山路の机架-3的数据</v>
      </c>
      <c r="I690" s="3">
        <f>INDEX([1]机架!$C:$C,C690+3)</f>
        <v>3715002112</v>
      </c>
      <c r="J690" s="3">
        <f>IF(D690&lt;&gt;"",INDEX([1]机架!$C:$C,D690+3),0)</f>
        <v>3715002113</v>
      </c>
    </row>
    <row r="691" spans="1:10" ht="16.5" x14ac:dyDescent="0.2">
      <c r="A691" s="3" t="s">
        <v>393</v>
      </c>
      <c r="B691" s="3">
        <v>688</v>
      </c>
      <c r="C691" s="3">
        <f t="shared" si="41"/>
        <v>1375</v>
      </c>
      <c r="D691" s="3">
        <f t="shared" si="42"/>
        <v>1376</v>
      </c>
      <c r="E691" s="3" t="str">
        <f t="shared" si="40"/>
        <v>dump:1212005173&amp;2212005173</v>
      </c>
      <c r="F691" s="3" t="str">
        <f t="shared" si="43"/>
        <v>哑资源设备_688</v>
      </c>
      <c r="G691" s="10" t="s">
        <v>406</v>
      </c>
      <c r="H691" s="3" t="str">
        <f>"检测机架"&amp;INDEX([1]机架!$D:$D,C691+3)&amp;IF(D691&lt;&gt;"","和"&amp;INDEX([1]机架!$D:$D,D691+3),"")&amp;"的数据"</f>
        <v>检测机架聊城龙山路の机架-4和聊城龙山路の机架-5的数据</v>
      </c>
      <c r="I691" s="3">
        <f>INDEX([1]机架!$C:$C,C691+3)</f>
        <v>3715002121</v>
      </c>
      <c r="J691" s="3">
        <f>IF(D691&lt;&gt;"",INDEX([1]机架!$C:$C,D691+3),0)</f>
        <v>3715002122</v>
      </c>
    </row>
    <row r="692" spans="1:10" ht="16.5" x14ac:dyDescent="0.2">
      <c r="A692" s="3" t="s">
        <v>393</v>
      </c>
      <c r="B692" s="3">
        <v>689</v>
      </c>
      <c r="C692" s="3">
        <f t="shared" si="41"/>
        <v>1377</v>
      </c>
      <c r="D692" s="3">
        <f t="shared" si="42"/>
        <v>1378</v>
      </c>
      <c r="E692" s="3" t="str">
        <f t="shared" si="40"/>
        <v>dump:3212005173&amp;1312005173</v>
      </c>
      <c r="F692" s="3" t="str">
        <f t="shared" si="43"/>
        <v>哑资源设备_689</v>
      </c>
      <c r="G692" s="10" t="s">
        <v>406</v>
      </c>
      <c r="H692" s="3" t="str">
        <f>"检测机架"&amp;INDEX([1]机架!$D:$D,C692+3)&amp;IF(D692&lt;&gt;"","和"&amp;INDEX([1]机架!$D:$D,D692+3),"")&amp;"的数据"</f>
        <v>检测机架聊城龙山路の机架-6和聊城龙山路の机架-7的数据</v>
      </c>
      <c r="I692" s="3">
        <f>INDEX([1]机架!$C:$C,C692+3)</f>
        <v>3715002123</v>
      </c>
      <c r="J692" s="3">
        <f>IF(D692&lt;&gt;"",INDEX([1]机架!$C:$C,D692+3),0)</f>
        <v>3715002131</v>
      </c>
    </row>
    <row r="693" spans="1:10" ht="16.5" x14ac:dyDescent="0.2">
      <c r="A693" s="3" t="s">
        <v>393</v>
      </c>
      <c r="B693" s="3">
        <v>690</v>
      </c>
      <c r="C693" s="3">
        <f t="shared" si="41"/>
        <v>1379</v>
      </c>
      <c r="D693" s="3">
        <f t="shared" si="42"/>
        <v>1380</v>
      </c>
      <c r="E693" s="3" t="str">
        <f t="shared" si="40"/>
        <v>dump:2312005173&amp;3312005173</v>
      </c>
      <c r="F693" s="3" t="str">
        <f t="shared" si="43"/>
        <v>哑资源设备_690</v>
      </c>
      <c r="G693" s="10" t="s">
        <v>406</v>
      </c>
      <c r="H693" s="3" t="str">
        <f>"检测机架"&amp;INDEX([1]机架!$D:$D,C693+3)&amp;IF(D693&lt;&gt;"","和"&amp;INDEX([1]机架!$D:$D,D693+3),"")&amp;"的数据"</f>
        <v>检测机架聊城龙山路の机架-8和聊城龙山路の机架-9的数据</v>
      </c>
      <c r="I693" s="3">
        <f>INDEX([1]机架!$C:$C,C693+3)</f>
        <v>3715002132</v>
      </c>
      <c r="J693" s="3">
        <f>IF(D693&lt;&gt;"",INDEX([1]机架!$C:$C,D693+3),0)</f>
        <v>3715002133</v>
      </c>
    </row>
    <row r="694" spans="1:10" ht="16.5" x14ac:dyDescent="0.2">
      <c r="A694" s="3" t="s">
        <v>393</v>
      </c>
      <c r="B694" s="3">
        <v>691</v>
      </c>
      <c r="C694" s="3">
        <f t="shared" si="41"/>
        <v>1381</v>
      </c>
      <c r="D694" s="3">
        <f t="shared" si="42"/>
        <v>1382</v>
      </c>
      <c r="E694" s="3" t="str">
        <f t="shared" si="40"/>
        <v>dump:1113005173&amp;2113005173</v>
      </c>
      <c r="F694" s="3" t="str">
        <f t="shared" si="43"/>
        <v>哑资源设备_691</v>
      </c>
      <c r="G694" s="10" t="s">
        <v>406</v>
      </c>
      <c r="H694" s="3" t="str">
        <f>"检测机架"&amp;INDEX([1]机架!$D:$D,C694+3)&amp;IF(D694&lt;&gt;"","和"&amp;INDEX([1]机架!$D:$D,D694+3),"")&amp;"的数据"</f>
        <v>检测机架聊城联通建设路の机架-1和聊城联通建设路の机架-2的数据</v>
      </c>
      <c r="I694" s="3">
        <f>INDEX([1]机架!$C:$C,C694+3)</f>
        <v>3715003111</v>
      </c>
      <c r="J694" s="3">
        <f>IF(D694&lt;&gt;"",INDEX([1]机架!$C:$C,D694+3),0)</f>
        <v>3715003112</v>
      </c>
    </row>
    <row r="695" spans="1:10" ht="16.5" x14ac:dyDescent="0.2">
      <c r="A695" s="3" t="s">
        <v>393</v>
      </c>
      <c r="B695" s="3">
        <v>692</v>
      </c>
      <c r="C695" s="3">
        <f t="shared" si="41"/>
        <v>1383</v>
      </c>
      <c r="D695" s="3">
        <f t="shared" si="42"/>
        <v>1384</v>
      </c>
      <c r="E695" s="3" t="str">
        <f t="shared" si="40"/>
        <v>dump:3113005173&amp;1213005173</v>
      </c>
      <c r="F695" s="3" t="str">
        <f t="shared" si="43"/>
        <v>哑资源设备_692</v>
      </c>
      <c r="G695" s="10" t="s">
        <v>406</v>
      </c>
      <c r="H695" s="3" t="str">
        <f>"检测机架"&amp;INDEX([1]机架!$D:$D,C695+3)&amp;IF(D695&lt;&gt;"","和"&amp;INDEX([1]机架!$D:$D,D695+3),"")&amp;"的数据"</f>
        <v>检测机架聊城联通建设路の机架-3和聊城联通建设路の机架-4的数据</v>
      </c>
      <c r="I695" s="3">
        <f>INDEX([1]机架!$C:$C,C695+3)</f>
        <v>3715003113</v>
      </c>
      <c r="J695" s="3">
        <f>IF(D695&lt;&gt;"",INDEX([1]机架!$C:$C,D695+3),0)</f>
        <v>3715003121</v>
      </c>
    </row>
    <row r="696" spans="1:10" ht="16.5" x14ac:dyDescent="0.2">
      <c r="A696" s="3" t="s">
        <v>393</v>
      </c>
      <c r="B696" s="3">
        <v>693</v>
      </c>
      <c r="C696" s="3">
        <f t="shared" si="41"/>
        <v>1385</v>
      </c>
      <c r="D696" s="3">
        <f t="shared" si="42"/>
        <v>1386</v>
      </c>
      <c r="E696" s="3" t="str">
        <f t="shared" si="40"/>
        <v>dump:2213005173&amp;3213005173</v>
      </c>
      <c r="F696" s="3" t="str">
        <f t="shared" si="43"/>
        <v>哑资源设备_693</v>
      </c>
      <c r="G696" s="10" t="s">
        <v>406</v>
      </c>
      <c r="H696" s="3" t="str">
        <f>"检测机架"&amp;INDEX([1]机架!$D:$D,C696+3)&amp;IF(D696&lt;&gt;"","和"&amp;INDEX([1]机架!$D:$D,D696+3),"")&amp;"的数据"</f>
        <v>检测机架聊城联通建设路の机架-5和聊城联通建设路の机架-6的数据</v>
      </c>
      <c r="I696" s="3">
        <f>INDEX([1]机架!$C:$C,C696+3)</f>
        <v>3715003122</v>
      </c>
      <c r="J696" s="3">
        <f>IF(D696&lt;&gt;"",INDEX([1]机架!$C:$C,D696+3),0)</f>
        <v>3715003123</v>
      </c>
    </row>
    <row r="697" spans="1:10" ht="16.5" x14ac:dyDescent="0.2">
      <c r="A697" s="3" t="s">
        <v>393</v>
      </c>
      <c r="B697" s="3">
        <v>694</v>
      </c>
      <c r="C697" s="3">
        <f t="shared" si="41"/>
        <v>1387</v>
      </c>
      <c r="D697" s="3">
        <f t="shared" si="42"/>
        <v>1388</v>
      </c>
      <c r="E697" s="3" t="str">
        <f t="shared" si="40"/>
        <v>dump:1313005173&amp;2313005173</v>
      </c>
      <c r="F697" s="3" t="str">
        <f t="shared" si="43"/>
        <v>哑资源设备_694</v>
      </c>
      <c r="G697" s="10" t="s">
        <v>406</v>
      </c>
      <c r="H697" s="3" t="str">
        <f>"检测机架"&amp;INDEX([1]机架!$D:$D,C697+3)&amp;IF(D697&lt;&gt;"","和"&amp;INDEX([1]机架!$D:$D,D697+3),"")&amp;"的数据"</f>
        <v>检测机架聊城联通建设路の机架-7和聊城联通建设路の机架-8的数据</v>
      </c>
      <c r="I697" s="3">
        <f>INDEX([1]机架!$C:$C,C697+3)</f>
        <v>3715003131</v>
      </c>
      <c r="J697" s="3">
        <f>IF(D697&lt;&gt;"",INDEX([1]机架!$C:$C,D697+3),0)</f>
        <v>3715003132</v>
      </c>
    </row>
    <row r="698" spans="1:10" ht="16.5" x14ac:dyDescent="0.2">
      <c r="A698" s="3" t="s">
        <v>393</v>
      </c>
      <c r="B698" s="3">
        <v>695</v>
      </c>
      <c r="C698" s="3">
        <f t="shared" si="41"/>
        <v>1389</v>
      </c>
      <c r="D698" s="3">
        <f t="shared" si="42"/>
        <v>1390</v>
      </c>
      <c r="E698" s="3" t="str">
        <f t="shared" si="40"/>
        <v>dump:3313005173&amp;1114005173</v>
      </c>
      <c r="F698" s="3" t="str">
        <f t="shared" si="43"/>
        <v>哑资源设备_695</v>
      </c>
      <c r="G698" s="10" t="s">
        <v>406</v>
      </c>
      <c r="H698" s="3" t="str">
        <f>"检测机架"&amp;INDEX([1]机架!$D:$D,C698+3)&amp;IF(D698&lt;&gt;"","和"&amp;INDEX([1]机架!$D:$D,D698+3),"")&amp;"的数据"</f>
        <v>检测机架聊城联通建设路の机架-9和聊城柳园南路の机架-1的数据</v>
      </c>
      <c r="I698" s="3">
        <f>INDEX([1]机架!$C:$C,C698+3)</f>
        <v>3715003133</v>
      </c>
      <c r="J698" s="3">
        <f>IF(D698&lt;&gt;"",INDEX([1]机架!$C:$C,D698+3),0)</f>
        <v>3715004111</v>
      </c>
    </row>
    <row r="699" spans="1:10" ht="16.5" x14ac:dyDescent="0.2">
      <c r="A699" s="3" t="s">
        <v>393</v>
      </c>
      <c r="B699" s="3">
        <v>696</v>
      </c>
      <c r="C699" s="3">
        <f t="shared" si="41"/>
        <v>1391</v>
      </c>
      <c r="D699" s="3">
        <f t="shared" si="42"/>
        <v>1392</v>
      </c>
      <c r="E699" s="3" t="str">
        <f t="shared" si="40"/>
        <v>dump:2114005173&amp;3114005173</v>
      </c>
      <c r="F699" s="3" t="str">
        <f t="shared" si="43"/>
        <v>哑资源设备_696</v>
      </c>
      <c r="G699" s="10" t="s">
        <v>406</v>
      </c>
      <c r="H699" s="3" t="str">
        <f>"检测机架"&amp;INDEX([1]机架!$D:$D,C699+3)&amp;IF(D699&lt;&gt;"","和"&amp;INDEX([1]机架!$D:$D,D699+3),"")&amp;"的数据"</f>
        <v>检测机架聊城柳园南路の机架-2和聊城柳园南路の机架-3的数据</v>
      </c>
      <c r="I699" s="3">
        <f>INDEX([1]机架!$C:$C,C699+3)</f>
        <v>3715004112</v>
      </c>
      <c r="J699" s="3">
        <f>IF(D699&lt;&gt;"",INDEX([1]机架!$C:$C,D699+3),0)</f>
        <v>3715004113</v>
      </c>
    </row>
    <row r="700" spans="1:10" ht="16.5" x14ac:dyDescent="0.2">
      <c r="A700" s="3" t="s">
        <v>393</v>
      </c>
      <c r="B700" s="3">
        <v>697</v>
      </c>
      <c r="C700" s="3">
        <f t="shared" si="41"/>
        <v>1393</v>
      </c>
      <c r="D700" s="3">
        <f t="shared" si="42"/>
        <v>1394</v>
      </c>
      <c r="E700" s="3" t="str">
        <f t="shared" si="40"/>
        <v>dump:1214005173&amp;2214005173</v>
      </c>
      <c r="F700" s="3" t="str">
        <f t="shared" si="43"/>
        <v>哑资源设备_697</v>
      </c>
      <c r="G700" s="10" t="s">
        <v>406</v>
      </c>
      <c r="H700" s="3" t="str">
        <f>"检测机架"&amp;INDEX([1]机架!$D:$D,C700+3)&amp;IF(D700&lt;&gt;"","和"&amp;INDEX([1]机架!$D:$D,D700+3),"")&amp;"的数据"</f>
        <v>检测机架聊城柳园南路の机架-4和聊城柳园南路の机架-5的数据</v>
      </c>
      <c r="I700" s="3">
        <f>INDEX([1]机架!$C:$C,C700+3)</f>
        <v>3715004121</v>
      </c>
      <c r="J700" s="3">
        <f>IF(D700&lt;&gt;"",INDEX([1]机架!$C:$C,D700+3),0)</f>
        <v>3715004122</v>
      </c>
    </row>
    <row r="701" spans="1:10" ht="16.5" x14ac:dyDescent="0.2">
      <c r="A701" s="3" t="s">
        <v>393</v>
      </c>
      <c r="B701" s="3">
        <v>698</v>
      </c>
      <c r="C701" s="3">
        <f t="shared" si="41"/>
        <v>1395</v>
      </c>
      <c r="D701" s="3">
        <f t="shared" si="42"/>
        <v>1396</v>
      </c>
      <c r="E701" s="3" t="str">
        <f t="shared" si="40"/>
        <v>dump:3214005173&amp;1314005173</v>
      </c>
      <c r="F701" s="3" t="str">
        <f t="shared" si="43"/>
        <v>哑资源设备_698</v>
      </c>
      <c r="G701" s="10" t="s">
        <v>406</v>
      </c>
      <c r="H701" s="3" t="str">
        <f>"检测机架"&amp;INDEX([1]机架!$D:$D,C701+3)&amp;IF(D701&lt;&gt;"","和"&amp;INDEX([1]机架!$D:$D,D701+3),"")&amp;"的数据"</f>
        <v>检测机架聊城柳园南路の机架-6和聊城柳园南路の机架-7的数据</v>
      </c>
      <c r="I701" s="3">
        <f>INDEX([1]机架!$C:$C,C701+3)</f>
        <v>3715004123</v>
      </c>
      <c r="J701" s="3">
        <f>IF(D701&lt;&gt;"",INDEX([1]机架!$C:$C,D701+3),0)</f>
        <v>3715004131</v>
      </c>
    </row>
    <row r="702" spans="1:10" ht="16.5" x14ac:dyDescent="0.2">
      <c r="A702" s="3" t="s">
        <v>393</v>
      </c>
      <c r="B702" s="3">
        <v>699</v>
      </c>
      <c r="C702" s="3">
        <f t="shared" si="41"/>
        <v>1397</v>
      </c>
      <c r="D702" s="3">
        <f t="shared" si="42"/>
        <v>1398</v>
      </c>
      <c r="E702" s="3" t="str">
        <f t="shared" si="40"/>
        <v>dump:2314005173&amp;3314005173</v>
      </c>
      <c r="F702" s="3" t="str">
        <f t="shared" si="43"/>
        <v>哑资源设备_699</v>
      </c>
      <c r="G702" s="10" t="s">
        <v>406</v>
      </c>
      <c r="H702" s="3" t="str">
        <f>"检测机架"&amp;INDEX([1]机架!$D:$D,C702+3)&amp;IF(D702&lt;&gt;"","和"&amp;INDEX([1]机架!$D:$D,D702+3),"")&amp;"的数据"</f>
        <v>检测机架聊城柳园南路の机架-8和聊城柳园南路の机架-9的数据</v>
      </c>
      <c r="I702" s="3">
        <f>INDEX([1]机架!$C:$C,C702+3)</f>
        <v>3715004132</v>
      </c>
      <c r="J702" s="3">
        <f>IF(D702&lt;&gt;"",INDEX([1]机架!$C:$C,D702+3),0)</f>
        <v>3715004133</v>
      </c>
    </row>
    <row r="703" spans="1:10" ht="16.5" x14ac:dyDescent="0.2">
      <c r="A703" s="3" t="s">
        <v>393</v>
      </c>
      <c r="B703" s="3">
        <v>700</v>
      </c>
      <c r="C703" s="3">
        <f t="shared" si="41"/>
        <v>1399</v>
      </c>
      <c r="D703" s="3">
        <f t="shared" si="42"/>
        <v>1400</v>
      </c>
      <c r="E703" s="3" t="str">
        <f t="shared" si="40"/>
        <v>dump:1115005173&amp;2115005173</v>
      </c>
      <c r="F703" s="3" t="str">
        <f t="shared" si="43"/>
        <v>哑资源设备_700</v>
      </c>
      <c r="G703" s="10" t="s">
        <v>406</v>
      </c>
      <c r="H703" s="3" t="str">
        <f>"检测机架"&amp;INDEX([1]机架!$D:$D,C703+3)&amp;IF(D703&lt;&gt;"","和"&amp;INDEX([1]机架!$D:$D,D703+3),"")&amp;"的数据"</f>
        <v>检测机架阳谷谷山路の机架-1和阳谷谷山路の机架-2的数据</v>
      </c>
      <c r="I703" s="3">
        <f>INDEX([1]机架!$C:$C,C703+3)</f>
        <v>3715005111</v>
      </c>
      <c r="J703" s="3">
        <f>IF(D703&lt;&gt;"",INDEX([1]机架!$C:$C,D703+3),0)</f>
        <v>3715005112</v>
      </c>
    </row>
    <row r="704" spans="1:10" ht="16.5" x14ac:dyDescent="0.2">
      <c r="A704" s="3" t="s">
        <v>393</v>
      </c>
      <c r="B704" s="3">
        <v>701</v>
      </c>
      <c r="C704" s="3">
        <f t="shared" si="41"/>
        <v>1401</v>
      </c>
      <c r="D704" s="3">
        <f t="shared" si="42"/>
        <v>1402</v>
      </c>
      <c r="E704" s="3" t="str">
        <f t="shared" si="40"/>
        <v>dump:3115005173&amp;1215005173</v>
      </c>
      <c r="F704" s="3" t="str">
        <f t="shared" si="43"/>
        <v>哑资源设备_701</v>
      </c>
      <c r="G704" s="10" t="s">
        <v>406</v>
      </c>
      <c r="H704" s="3" t="str">
        <f>"检测机架"&amp;INDEX([1]机架!$D:$D,C704+3)&amp;IF(D704&lt;&gt;"","和"&amp;INDEX([1]机架!$D:$D,D704+3),"")&amp;"的数据"</f>
        <v>检测机架阳谷谷山路の机架-3和阳谷谷山路の机架-4的数据</v>
      </c>
      <c r="I704" s="3">
        <f>INDEX([1]机架!$C:$C,C704+3)</f>
        <v>3715005113</v>
      </c>
      <c r="J704" s="3">
        <f>IF(D704&lt;&gt;"",INDEX([1]机架!$C:$C,D704+3),0)</f>
        <v>3715005121</v>
      </c>
    </row>
    <row r="705" spans="1:10" ht="16.5" x14ac:dyDescent="0.2">
      <c r="A705" s="3" t="s">
        <v>393</v>
      </c>
      <c r="B705" s="3">
        <v>702</v>
      </c>
      <c r="C705" s="3">
        <f t="shared" si="41"/>
        <v>1403</v>
      </c>
      <c r="D705" s="3">
        <f t="shared" si="42"/>
        <v>1404</v>
      </c>
      <c r="E705" s="3" t="str">
        <f t="shared" si="40"/>
        <v>dump:2215005173&amp;3215005173</v>
      </c>
      <c r="F705" s="3" t="str">
        <f t="shared" si="43"/>
        <v>哑资源设备_702</v>
      </c>
      <c r="G705" s="10" t="s">
        <v>406</v>
      </c>
      <c r="H705" s="3" t="str">
        <f>"检测机架"&amp;INDEX([1]机架!$D:$D,C705+3)&amp;IF(D705&lt;&gt;"","和"&amp;INDEX([1]机架!$D:$D,D705+3),"")&amp;"的数据"</f>
        <v>检测机架阳谷谷山路の机架-5和阳谷谷山路の机架-6的数据</v>
      </c>
      <c r="I705" s="3">
        <f>INDEX([1]机架!$C:$C,C705+3)</f>
        <v>3715005122</v>
      </c>
      <c r="J705" s="3">
        <f>IF(D705&lt;&gt;"",INDEX([1]机架!$C:$C,D705+3),0)</f>
        <v>3715005123</v>
      </c>
    </row>
    <row r="706" spans="1:10" ht="16.5" x14ac:dyDescent="0.2">
      <c r="A706" s="3" t="s">
        <v>393</v>
      </c>
      <c r="B706" s="3">
        <v>703</v>
      </c>
      <c r="C706" s="3">
        <f t="shared" si="41"/>
        <v>1405</v>
      </c>
      <c r="D706" s="3">
        <f t="shared" si="42"/>
        <v>1406</v>
      </c>
      <c r="E706" s="3" t="str">
        <f t="shared" si="40"/>
        <v>dump:1315005173&amp;2315005173</v>
      </c>
      <c r="F706" s="3" t="str">
        <f t="shared" si="43"/>
        <v>哑资源设备_703</v>
      </c>
      <c r="G706" s="10" t="s">
        <v>406</v>
      </c>
      <c r="H706" s="3" t="str">
        <f>"检测机架"&amp;INDEX([1]机架!$D:$D,C706+3)&amp;IF(D706&lt;&gt;"","和"&amp;INDEX([1]机架!$D:$D,D706+3),"")&amp;"的数据"</f>
        <v>检测机架阳谷谷山路の机架-7和阳谷谷山路の机架-8的数据</v>
      </c>
      <c r="I706" s="3">
        <f>INDEX([1]机架!$C:$C,C706+3)</f>
        <v>3715005131</v>
      </c>
      <c r="J706" s="3">
        <f>IF(D706&lt;&gt;"",INDEX([1]机架!$C:$C,D706+3),0)</f>
        <v>3715005132</v>
      </c>
    </row>
    <row r="707" spans="1:10" ht="16.5" x14ac:dyDescent="0.2">
      <c r="A707" s="3" t="s">
        <v>393</v>
      </c>
      <c r="B707" s="3">
        <v>704</v>
      </c>
      <c r="C707" s="3">
        <f t="shared" si="41"/>
        <v>1407</v>
      </c>
      <c r="D707" s="3">
        <f t="shared" si="42"/>
        <v>1408</v>
      </c>
      <c r="E707" s="3" t="str">
        <f t="shared" si="40"/>
        <v>dump:3315005173&amp;1116005173</v>
      </c>
      <c r="F707" s="3" t="str">
        <f t="shared" si="43"/>
        <v>哑资源设备_704</v>
      </c>
      <c r="G707" s="10" t="s">
        <v>406</v>
      </c>
      <c r="H707" s="3" t="str">
        <f>"检测机架"&amp;INDEX([1]机架!$D:$D,C707+3)&amp;IF(D707&lt;&gt;"","和"&amp;INDEX([1]机架!$D:$D,D707+3),"")&amp;"的数据"</f>
        <v>检测机架阳谷谷山路の机架-9和临东机房の机架-1的数据</v>
      </c>
      <c r="I707" s="3">
        <f>INDEX([1]机架!$C:$C,C707+3)</f>
        <v>3715005133</v>
      </c>
      <c r="J707" s="3">
        <f>IF(D707&lt;&gt;"",INDEX([1]机架!$C:$C,D707+3),0)</f>
        <v>3715006111</v>
      </c>
    </row>
    <row r="708" spans="1:10" ht="16.5" x14ac:dyDescent="0.2">
      <c r="A708" s="3" t="s">
        <v>393</v>
      </c>
      <c r="B708" s="3">
        <v>705</v>
      </c>
      <c r="C708" s="3">
        <f t="shared" si="41"/>
        <v>1409</v>
      </c>
      <c r="D708" s="3">
        <f t="shared" si="42"/>
        <v>1410</v>
      </c>
      <c r="E708" s="3" t="str">
        <f t="shared" ref="E708:E771" si="44">"dump:"&amp;Reverse(I708)&amp;"&amp;"&amp;Reverse(J708)</f>
        <v>dump:2116005173&amp;3116005173</v>
      </c>
      <c r="F708" s="3" t="str">
        <f t="shared" si="43"/>
        <v>哑资源设备_705</v>
      </c>
      <c r="G708" s="10" t="s">
        <v>406</v>
      </c>
      <c r="H708" s="3" t="str">
        <f>"检测机架"&amp;INDEX([1]机架!$D:$D,C708+3)&amp;IF(D708&lt;&gt;"","和"&amp;INDEX([1]机架!$D:$D,D708+3),"")&amp;"的数据"</f>
        <v>检测机架临东机房の机架-2和临东机房の机架-3的数据</v>
      </c>
      <c r="I708" s="3">
        <f>INDEX([1]机架!$C:$C,C708+3)</f>
        <v>3715006112</v>
      </c>
      <c r="J708" s="3">
        <f>IF(D708&lt;&gt;"",INDEX([1]机架!$C:$C,D708+3),0)</f>
        <v>3715006113</v>
      </c>
    </row>
    <row r="709" spans="1:10" ht="16.5" x14ac:dyDescent="0.2">
      <c r="A709" s="3" t="s">
        <v>393</v>
      </c>
      <c r="B709" s="3">
        <v>706</v>
      </c>
      <c r="C709" s="3">
        <f t="shared" ref="C709:C772" si="45">MOD(B709-1,INT(($N$3+1)/2))*2+1</f>
        <v>1411</v>
      </c>
      <c r="D709" s="3">
        <f t="shared" ref="D709:D772" si="46">IF(C709&lt;$N$3,MOD(B709-1,INT(($N$3+1)/2))*2+2,"")</f>
        <v>1412</v>
      </c>
      <c r="E709" s="3" t="str">
        <f t="shared" si="44"/>
        <v>dump:1216005173&amp;2216005173</v>
      </c>
      <c r="F709" s="3" t="str">
        <f t="shared" ref="F709:F772" si="47">"哑资源设备_"&amp;B709</f>
        <v>哑资源设备_706</v>
      </c>
      <c r="G709" s="10" t="s">
        <v>406</v>
      </c>
      <c r="H709" s="3" t="str">
        <f>"检测机架"&amp;INDEX([1]机架!$D:$D,C709+3)&amp;IF(D709&lt;&gt;"","和"&amp;INDEX([1]机架!$D:$D,D709+3),"")&amp;"的数据"</f>
        <v>检测机架临东机房の机架-4和临东机房の机架-5的数据</v>
      </c>
      <c r="I709" s="3">
        <f>INDEX([1]机架!$C:$C,C709+3)</f>
        <v>3715006121</v>
      </c>
      <c r="J709" s="3">
        <f>IF(D709&lt;&gt;"",INDEX([1]机架!$C:$C,D709+3),0)</f>
        <v>3715006122</v>
      </c>
    </row>
    <row r="710" spans="1:10" ht="16.5" x14ac:dyDescent="0.2">
      <c r="A710" s="3" t="s">
        <v>393</v>
      </c>
      <c r="B710" s="3">
        <v>707</v>
      </c>
      <c r="C710" s="3">
        <f t="shared" si="45"/>
        <v>1413</v>
      </c>
      <c r="D710" s="3">
        <f t="shared" si="46"/>
        <v>1414</v>
      </c>
      <c r="E710" s="3" t="str">
        <f t="shared" si="44"/>
        <v>dump:3216005173&amp;1316005173</v>
      </c>
      <c r="F710" s="3" t="str">
        <f t="shared" si="47"/>
        <v>哑资源设备_707</v>
      </c>
      <c r="G710" s="10" t="s">
        <v>406</v>
      </c>
      <c r="H710" s="3" t="str">
        <f>"检测机架"&amp;INDEX([1]机架!$D:$D,C710+3)&amp;IF(D710&lt;&gt;"","和"&amp;INDEX([1]机架!$D:$D,D710+3),"")&amp;"的数据"</f>
        <v>检测机架临东机房の机架-6和临东机房の机架-7的数据</v>
      </c>
      <c r="I710" s="3">
        <f>INDEX([1]机架!$C:$C,C710+3)</f>
        <v>3715006123</v>
      </c>
      <c r="J710" s="3">
        <f>IF(D710&lt;&gt;"",INDEX([1]机架!$C:$C,D710+3),0)</f>
        <v>3715006131</v>
      </c>
    </row>
    <row r="711" spans="1:10" ht="16.5" x14ac:dyDescent="0.2">
      <c r="A711" s="3" t="s">
        <v>393</v>
      </c>
      <c r="B711" s="3">
        <v>708</v>
      </c>
      <c r="C711" s="3">
        <f t="shared" si="45"/>
        <v>1415</v>
      </c>
      <c r="D711" s="3">
        <f t="shared" si="46"/>
        <v>1416</v>
      </c>
      <c r="E711" s="3" t="str">
        <f t="shared" si="44"/>
        <v>dump:2316005173&amp;3316005173</v>
      </c>
      <c r="F711" s="3" t="str">
        <f t="shared" si="47"/>
        <v>哑资源设备_708</v>
      </c>
      <c r="G711" s="10" t="s">
        <v>406</v>
      </c>
      <c r="H711" s="3" t="str">
        <f>"检测机架"&amp;INDEX([1]机架!$D:$D,C711+3)&amp;IF(D711&lt;&gt;"","和"&amp;INDEX([1]机架!$D:$D,D711+3),"")&amp;"的数据"</f>
        <v>检测机架临东机房の机架-8和临东机房の机架-9的数据</v>
      </c>
      <c r="I711" s="3">
        <f>INDEX([1]机架!$C:$C,C711+3)</f>
        <v>3715006132</v>
      </c>
      <c r="J711" s="3">
        <f>IF(D711&lt;&gt;"",INDEX([1]机架!$C:$C,D711+3),0)</f>
        <v>3715006133</v>
      </c>
    </row>
    <row r="712" spans="1:10" ht="16.5" x14ac:dyDescent="0.2">
      <c r="A712" s="3" t="s">
        <v>393</v>
      </c>
      <c r="B712" s="3">
        <v>709</v>
      </c>
      <c r="C712" s="3">
        <f t="shared" si="45"/>
        <v>1417</v>
      </c>
      <c r="D712" s="3">
        <f t="shared" si="46"/>
        <v>1418</v>
      </c>
      <c r="E712" s="3" t="str">
        <f t="shared" si="44"/>
        <v>dump:1117005173&amp;2117005173</v>
      </c>
      <c r="F712" s="3" t="str">
        <f t="shared" si="47"/>
        <v>哑资源设备_709</v>
      </c>
      <c r="G712" s="10" t="s">
        <v>406</v>
      </c>
      <c r="H712" s="3" t="str">
        <f>"检测机架"&amp;INDEX([1]机架!$D:$D,C712+3)&amp;IF(D712&lt;&gt;"","和"&amp;INDEX([1]机架!$D:$D,D712+3),"")&amp;"的数据"</f>
        <v>检测机架东阿府前街の机架-1和东阿府前街の机架-2的数据</v>
      </c>
      <c r="I712" s="3">
        <f>INDEX([1]机架!$C:$C,C712+3)</f>
        <v>3715007111</v>
      </c>
      <c r="J712" s="3">
        <f>IF(D712&lt;&gt;"",INDEX([1]机架!$C:$C,D712+3),0)</f>
        <v>3715007112</v>
      </c>
    </row>
    <row r="713" spans="1:10" ht="16.5" x14ac:dyDescent="0.2">
      <c r="A713" s="3" t="s">
        <v>393</v>
      </c>
      <c r="B713" s="3">
        <v>710</v>
      </c>
      <c r="C713" s="3">
        <f t="shared" si="45"/>
        <v>1419</v>
      </c>
      <c r="D713" s="3">
        <f t="shared" si="46"/>
        <v>1420</v>
      </c>
      <c r="E713" s="3" t="str">
        <f t="shared" si="44"/>
        <v>dump:3117005173&amp;1217005173</v>
      </c>
      <c r="F713" s="3" t="str">
        <f t="shared" si="47"/>
        <v>哑资源设备_710</v>
      </c>
      <c r="G713" s="10" t="s">
        <v>406</v>
      </c>
      <c r="H713" s="3" t="str">
        <f>"检测机架"&amp;INDEX([1]机架!$D:$D,C713+3)&amp;IF(D713&lt;&gt;"","和"&amp;INDEX([1]机架!$D:$D,D713+3),"")&amp;"的数据"</f>
        <v>检测机架东阿府前街の机架-3和东阿府前街の机架-4的数据</v>
      </c>
      <c r="I713" s="3">
        <f>INDEX([1]机架!$C:$C,C713+3)</f>
        <v>3715007113</v>
      </c>
      <c r="J713" s="3">
        <f>IF(D713&lt;&gt;"",INDEX([1]机架!$C:$C,D713+3),0)</f>
        <v>3715007121</v>
      </c>
    </row>
    <row r="714" spans="1:10" ht="16.5" x14ac:dyDescent="0.2">
      <c r="A714" s="3" t="s">
        <v>393</v>
      </c>
      <c r="B714" s="3">
        <v>711</v>
      </c>
      <c r="C714" s="3">
        <f t="shared" si="45"/>
        <v>1421</v>
      </c>
      <c r="D714" s="3">
        <f t="shared" si="46"/>
        <v>1422</v>
      </c>
      <c r="E714" s="3" t="str">
        <f t="shared" si="44"/>
        <v>dump:2217005173&amp;3217005173</v>
      </c>
      <c r="F714" s="3" t="str">
        <f t="shared" si="47"/>
        <v>哑资源设备_711</v>
      </c>
      <c r="G714" s="10" t="s">
        <v>406</v>
      </c>
      <c r="H714" s="3" t="str">
        <f>"检测机架"&amp;INDEX([1]机架!$D:$D,C714+3)&amp;IF(D714&lt;&gt;"","和"&amp;INDEX([1]机架!$D:$D,D714+3),"")&amp;"的数据"</f>
        <v>检测机架东阿府前街の机架-5和东阿府前街の机架-6的数据</v>
      </c>
      <c r="I714" s="3">
        <f>INDEX([1]机架!$C:$C,C714+3)</f>
        <v>3715007122</v>
      </c>
      <c r="J714" s="3">
        <f>IF(D714&lt;&gt;"",INDEX([1]机架!$C:$C,D714+3),0)</f>
        <v>3715007123</v>
      </c>
    </row>
    <row r="715" spans="1:10" ht="16.5" x14ac:dyDescent="0.2">
      <c r="A715" s="3" t="s">
        <v>393</v>
      </c>
      <c r="B715" s="3">
        <v>712</v>
      </c>
      <c r="C715" s="3">
        <f t="shared" si="45"/>
        <v>1423</v>
      </c>
      <c r="D715" s="3">
        <f t="shared" si="46"/>
        <v>1424</v>
      </c>
      <c r="E715" s="3" t="str">
        <f t="shared" si="44"/>
        <v>dump:1317005173&amp;2317005173</v>
      </c>
      <c r="F715" s="3" t="str">
        <f t="shared" si="47"/>
        <v>哑资源设备_712</v>
      </c>
      <c r="G715" s="10" t="s">
        <v>406</v>
      </c>
      <c r="H715" s="3" t="str">
        <f>"检测机架"&amp;INDEX([1]机架!$D:$D,C715+3)&amp;IF(D715&lt;&gt;"","和"&amp;INDEX([1]机架!$D:$D,D715+3),"")&amp;"的数据"</f>
        <v>检测机架东阿府前街の机架-7和东阿府前街の机架-8的数据</v>
      </c>
      <c r="I715" s="3">
        <f>INDEX([1]机架!$C:$C,C715+3)</f>
        <v>3715007131</v>
      </c>
      <c r="J715" s="3">
        <f>IF(D715&lt;&gt;"",INDEX([1]机架!$C:$C,D715+3),0)</f>
        <v>3715007132</v>
      </c>
    </row>
    <row r="716" spans="1:10" ht="16.5" x14ac:dyDescent="0.2">
      <c r="A716" s="3" t="s">
        <v>393</v>
      </c>
      <c r="B716" s="3">
        <v>713</v>
      </c>
      <c r="C716" s="3">
        <f t="shared" si="45"/>
        <v>1425</v>
      </c>
      <c r="D716" s="3">
        <f t="shared" si="46"/>
        <v>1426</v>
      </c>
      <c r="E716" s="3" t="str">
        <f t="shared" si="44"/>
        <v>dump:3317005173&amp;1118005173</v>
      </c>
      <c r="F716" s="3" t="str">
        <f t="shared" si="47"/>
        <v>哑资源设备_713</v>
      </c>
      <c r="G716" s="10" t="s">
        <v>406</v>
      </c>
      <c r="H716" s="3" t="str">
        <f>"检测机架"&amp;INDEX([1]机架!$D:$D,C716+3)&amp;IF(D716&lt;&gt;"","和"&amp;INDEX([1]机架!$D:$D,D716+3),"")&amp;"的数据"</f>
        <v>检测机架东阿府前街の机架-9和临清红星路东段の机架-1的数据</v>
      </c>
      <c r="I716" s="3">
        <f>INDEX([1]机架!$C:$C,C716+3)</f>
        <v>3715007133</v>
      </c>
      <c r="J716" s="3">
        <f>IF(D716&lt;&gt;"",INDEX([1]机架!$C:$C,D716+3),0)</f>
        <v>3715008111</v>
      </c>
    </row>
    <row r="717" spans="1:10" ht="16.5" x14ac:dyDescent="0.2">
      <c r="A717" s="3" t="s">
        <v>393</v>
      </c>
      <c r="B717" s="3">
        <v>714</v>
      </c>
      <c r="C717" s="3">
        <f t="shared" si="45"/>
        <v>1427</v>
      </c>
      <c r="D717" s="3">
        <f t="shared" si="46"/>
        <v>1428</v>
      </c>
      <c r="E717" s="3" t="str">
        <f t="shared" si="44"/>
        <v>dump:2118005173&amp;3118005173</v>
      </c>
      <c r="F717" s="3" t="str">
        <f t="shared" si="47"/>
        <v>哑资源设备_714</v>
      </c>
      <c r="G717" s="10" t="s">
        <v>406</v>
      </c>
      <c r="H717" s="3" t="str">
        <f>"检测机架"&amp;INDEX([1]机架!$D:$D,C717+3)&amp;IF(D717&lt;&gt;"","和"&amp;INDEX([1]机架!$D:$D,D717+3),"")&amp;"的数据"</f>
        <v>检测机架临清红星路东段の机架-2和临清红星路东段の机架-3的数据</v>
      </c>
      <c r="I717" s="3">
        <f>INDEX([1]机架!$C:$C,C717+3)</f>
        <v>3715008112</v>
      </c>
      <c r="J717" s="3">
        <f>IF(D717&lt;&gt;"",INDEX([1]机架!$C:$C,D717+3),0)</f>
        <v>3715008113</v>
      </c>
    </row>
    <row r="718" spans="1:10" ht="16.5" x14ac:dyDescent="0.2">
      <c r="A718" s="3" t="s">
        <v>393</v>
      </c>
      <c r="B718" s="3">
        <v>715</v>
      </c>
      <c r="C718" s="3">
        <f t="shared" si="45"/>
        <v>1429</v>
      </c>
      <c r="D718" s="3">
        <f t="shared" si="46"/>
        <v>1430</v>
      </c>
      <c r="E718" s="3" t="str">
        <f t="shared" si="44"/>
        <v>dump:1218005173&amp;2218005173</v>
      </c>
      <c r="F718" s="3" t="str">
        <f t="shared" si="47"/>
        <v>哑资源设备_715</v>
      </c>
      <c r="G718" s="10" t="s">
        <v>406</v>
      </c>
      <c r="H718" s="3" t="str">
        <f>"检测机架"&amp;INDEX([1]机架!$D:$D,C718+3)&amp;IF(D718&lt;&gt;"","和"&amp;INDEX([1]机架!$D:$D,D718+3),"")&amp;"的数据"</f>
        <v>检测机架临清红星路东段の机架-4和临清红星路东段の机架-5的数据</v>
      </c>
      <c r="I718" s="3">
        <f>INDEX([1]机架!$C:$C,C718+3)</f>
        <v>3715008121</v>
      </c>
      <c r="J718" s="3">
        <f>IF(D718&lt;&gt;"",INDEX([1]机架!$C:$C,D718+3),0)</f>
        <v>3715008122</v>
      </c>
    </row>
    <row r="719" spans="1:10" ht="16.5" x14ac:dyDescent="0.2">
      <c r="A719" s="3" t="s">
        <v>393</v>
      </c>
      <c r="B719" s="3">
        <v>716</v>
      </c>
      <c r="C719" s="3">
        <f t="shared" si="45"/>
        <v>1431</v>
      </c>
      <c r="D719" s="3">
        <f t="shared" si="46"/>
        <v>1432</v>
      </c>
      <c r="E719" s="3" t="str">
        <f t="shared" si="44"/>
        <v>dump:3218005173&amp;1318005173</v>
      </c>
      <c r="F719" s="3" t="str">
        <f t="shared" si="47"/>
        <v>哑资源设备_716</v>
      </c>
      <c r="G719" s="10" t="s">
        <v>406</v>
      </c>
      <c r="H719" s="3" t="str">
        <f>"检测机架"&amp;INDEX([1]机架!$D:$D,C719+3)&amp;IF(D719&lt;&gt;"","和"&amp;INDEX([1]机架!$D:$D,D719+3),"")&amp;"的数据"</f>
        <v>检测机架临清红星路东段の机架-6和临清红星路东段の机架-7的数据</v>
      </c>
      <c r="I719" s="3">
        <f>INDEX([1]机架!$C:$C,C719+3)</f>
        <v>3715008123</v>
      </c>
      <c r="J719" s="3">
        <f>IF(D719&lt;&gt;"",INDEX([1]机架!$C:$C,D719+3),0)</f>
        <v>3715008131</v>
      </c>
    </row>
    <row r="720" spans="1:10" ht="16.5" x14ac:dyDescent="0.2">
      <c r="A720" s="3" t="s">
        <v>393</v>
      </c>
      <c r="B720" s="3">
        <v>717</v>
      </c>
      <c r="C720" s="3">
        <f t="shared" si="45"/>
        <v>1433</v>
      </c>
      <c r="D720" s="3">
        <f t="shared" si="46"/>
        <v>1434</v>
      </c>
      <c r="E720" s="3" t="str">
        <f t="shared" si="44"/>
        <v>dump:2318005173&amp;3318005173</v>
      </c>
      <c r="F720" s="3" t="str">
        <f t="shared" si="47"/>
        <v>哑资源设备_717</v>
      </c>
      <c r="G720" s="10" t="s">
        <v>406</v>
      </c>
      <c r="H720" s="3" t="str">
        <f>"检测机架"&amp;INDEX([1]机架!$D:$D,C720+3)&amp;IF(D720&lt;&gt;"","和"&amp;INDEX([1]机架!$D:$D,D720+3),"")&amp;"的数据"</f>
        <v>检测机架临清红星路东段の机架-8和临清红星路东段の机架-9的数据</v>
      </c>
      <c r="I720" s="3">
        <f>INDEX([1]机架!$C:$C,C720+3)</f>
        <v>3715008132</v>
      </c>
      <c r="J720" s="3">
        <f>IF(D720&lt;&gt;"",INDEX([1]机架!$C:$C,D720+3),0)</f>
        <v>3715008133</v>
      </c>
    </row>
    <row r="721" spans="1:10" ht="16.5" x14ac:dyDescent="0.2">
      <c r="A721" s="3" t="s">
        <v>393</v>
      </c>
      <c r="B721" s="3">
        <v>718</v>
      </c>
      <c r="C721" s="3">
        <f t="shared" si="45"/>
        <v>1435</v>
      </c>
      <c r="D721" s="3">
        <f t="shared" si="46"/>
        <v>1436</v>
      </c>
      <c r="E721" s="3" t="str">
        <f t="shared" si="44"/>
        <v>dump:1111003173&amp;2111003173</v>
      </c>
      <c r="F721" s="3" t="str">
        <f t="shared" si="47"/>
        <v>哑资源设备_718</v>
      </c>
      <c r="G721" s="10" t="s">
        <v>406</v>
      </c>
      <c r="H721" s="3" t="str">
        <f>"检测机架"&amp;INDEX([1]机架!$D:$D,C721+3)&amp;IF(D721&lt;&gt;"","和"&amp;INDEX([1]机架!$D:$D,D721+3),"")&amp;"的数据"</f>
        <v>检测机架临沂金雀山の机架-1和临沂金雀山の机架-2的数据</v>
      </c>
      <c r="I721" s="3">
        <f>INDEX([1]机架!$C:$C,C721+3)</f>
        <v>3713001111</v>
      </c>
      <c r="J721" s="3">
        <f>IF(D721&lt;&gt;"",INDEX([1]机架!$C:$C,D721+3),0)</f>
        <v>3713001112</v>
      </c>
    </row>
    <row r="722" spans="1:10" ht="16.5" x14ac:dyDescent="0.2">
      <c r="A722" s="3" t="s">
        <v>393</v>
      </c>
      <c r="B722" s="3">
        <v>719</v>
      </c>
      <c r="C722" s="3">
        <f t="shared" si="45"/>
        <v>1437</v>
      </c>
      <c r="D722" s="3">
        <f t="shared" si="46"/>
        <v>1438</v>
      </c>
      <c r="E722" s="3" t="str">
        <f t="shared" si="44"/>
        <v>dump:3111003173&amp;1211003173</v>
      </c>
      <c r="F722" s="3" t="str">
        <f t="shared" si="47"/>
        <v>哑资源设备_719</v>
      </c>
      <c r="G722" s="10" t="s">
        <v>406</v>
      </c>
      <c r="H722" s="3" t="str">
        <f>"检测机架"&amp;INDEX([1]机架!$D:$D,C722+3)&amp;IF(D722&lt;&gt;"","和"&amp;INDEX([1]机架!$D:$D,D722+3),"")&amp;"的数据"</f>
        <v>检测机架临沂金雀山の机架-3和临沂金雀山の机架-4的数据</v>
      </c>
      <c r="I722" s="3">
        <f>INDEX([1]机架!$C:$C,C722+3)</f>
        <v>3713001113</v>
      </c>
      <c r="J722" s="3">
        <f>IF(D722&lt;&gt;"",INDEX([1]机架!$C:$C,D722+3),0)</f>
        <v>3713001121</v>
      </c>
    </row>
    <row r="723" spans="1:10" ht="16.5" x14ac:dyDescent="0.2">
      <c r="A723" s="3" t="s">
        <v>393</v>
      </c>
      <c r="B723" s="3">
        <v>720</v>
      </c>
      <c r="C723" s="3">
        <f t="shared" si="45"/>
        <v>1439</v>
      </c>
      <c r="D723" s="3">
        <f t="shared" si="46"/>
        <v>1440</v>
      </c>
      <c r="E723" s="3" t="str">
        <f t="shared" si="44"/>
        <v>dump:2211003173&amp;3211003173</v>
      </c>
      <c r="F723" s="3" t="str">
        <f t="shared" si="47"/>
        <v>哑资源设备_720</v>
      </c>
      <c r="G723" s="10" t="s">
        <v>406</v>
      </c>
      <c r="H723" s="3" t="str">
        <f>"检测机架"&amp;INDEX([1]机架!$D:$D,C723+3)&amp;IF(D723&lt;&gt;"","和"&amp;INDEX([1]机架!$D:$D,D723+3),"")&amp;"的数据"</f>
        <v>检测机架临沂金雀山の机架-5和临沂金雀山の机架-6的数据</v>
      </c>
      <c r="I723" s="3">
        <f>INDEX([1]机架!$C:$C,C723+3)</f>
        <v>3713001122</v>
      </c>
      <c r="J723" s="3">
        <f>IF(D723&lt;&gt;"",INDEX([1]机架!$C:$C,D723+3),0)</f>
        <v>3713001123</v>
      </c>
    </row>
    <row r="724" spans="1:10" ht="16.5" x14ac:dyDescent="0.2">
      <c r="A724" s="3" t="s">
        <v>393</v>
      </c>
      <c r="B724" s="3">
        <v>721</v>
      </c>
      <c r="C724" s="3">
        <f t="shared" si="45"/>
        <v>1441</v>
      </c>
      <c r="D724" s="3">
        <f t="shared" si="46"/>
        <v>1442</v>
      </c>
      <c r="E724" s="3" t="str">
        <f t="shared" si="44"/>
        <v>dump:1311003173&amp;2311003173</v>
      </c>
      <c r="F724" s="3" t="str">
        <f t="shared" si="47"/>
        <v>哑资源设备_721</v>
      </c>
      <c r="G724" s="10" t="s">
        <v>406</v>
      </c>
      <c r="H724" s="3" t="str">
        <f>"检测机架"&amp;INDEX([1]机架!$D:$D,C724+3)&amp;IF(D724&lt;&gt;"","和"&amp;INDEX([1]机架!$D:$D,D724+3),"")&amp;"的数据"</f>
        <v>检测机架临沂金雀山の机架-7和临沂金雀山の机架-8的数据</v>
      </c>
      <c r="I724" s="3">
        <f>INDEX([1]机架!$C:$C,C724+3)</f>
        <v>3713001131</v>
      </c>
      <c r="J724" s="3">
        <f>IF(D724&lt;&gt;"",INDEX([1]机架!$C:$C,D724+3),0)</f>
        <v>3713001132</v>
      </c>
    </row>
    <row r="725" spans="1:10" ht="16.5" x14ac:dyDescent="0.2">
      <c r="A725" s="3" t="s">
        <v>393</v>
      </c>
      <c r="B725" s="3">
        <v>722</v>
      </c>
      <c r="C725" s="3">
        <f t="shared" si="45"/>
        <v>1443</v>
      </c>
      <c r="D725" s="3">
        <f t="shared" si="46"/>
        <v>1444</v>
      </c>
      <c r="E725" s="3" t="str">
        <f t="shared" si="44"/>
        <v>dump:3311003173&amp;1121003173</v>
      </c>
      <c r="F725" s="3" t="str">
        <f t="shared" si="47"/>
        <v>哑资源设备_722</v>
      </c>
      <c r="G725" s="10" t="s">
        <v>406</v>
      </c>
      <c r="H725" s="3" t="str">
        <f>"检测机架"&amp;INDEX([1]机架!$D:$D,C725+3)&amp;IF(D725&lt;&gt;"","和"&amp;INDEX([1]机架!$D:$D,D725+3),"")&amp;"的数据"</f>
        <v>检测机架临沂金雀山の机架-9和临沂金雀山の机架-10的数据</v>
      </c>
      <c r="I725" s="3">
        <f>INDEX([1]机架!$C:$C,C725+3)</f>
        <v>3713001133</v>
      </c>
      <c r="J725" s="3">
        <f>IF(D725&lt;&gt;"",INDEX([1]机架!$C:$C,D725+3),0)</f>
        <v>3713001211</v>
      </c>
    </row>
    <row r="726" spans="1:10" ht="16.5" x14ac:dyDescent="0.2">
      <c r="A726" s="3" t="s">
        <v>393</v>
      </c>
      <c r="B726" s="3">
        <v>723</v>
      </c>
      <c r="C726" s="3">
        <f t="shared" si="45"/>
        <v>1445</v>
      </c>
      <c r="D726" s="3">
        <f t="shared" si="46"/>
        <v>1446</v>
      </c>
      <c r="E726" s="3" t="str">
        <f t="shared" si="44"/>
        <v>dump:2121003173&amp;3121003173</v>
      </c>
      <c r="F726" s="3" t="str">
        <f t="shared" si="47"/>
        <v>哑资源设备_723</v>
      </c>
      <c r="G726" s="10" t="s">
        <v>406</v>
      </c>
      <c r="H726" s="3" t="str">
        <f>"检测机架"&amp;INDEX([1]机架!$D:$D,C726+3)&amp;IF(D726&lt;&gt;"","和"&amp;INDEX([1]机架!$D:$D,D726+3),"")&amp;"的数据"</f>
        <v>检测机架临沂金雀山の机架-11和临沂金雀山の机架-12的数据</v>
      </c>
      <c r="I726" s="3">
        <f>INDEX([1]机架!$C:$C,C726+3)</f>
        <v>3713001212</v>
      </c>
      <c r="J726" s="3">
        <f>IF(D726&lt;&gt;"",INDEX([1]机架!$C:$C,D726+3),0)</f>
        <v>3713001213</v>
      </c>
    </row>
    <row r="727" spans="1:10" ht="16.5" x14ac:dyDescent="0.2">
      <c r="A727" s="3" t="s">
        <v>393</v>
      </c>
      <c r="B727" s="3">
        <v>724</v>
      </c>
      <c r="C727" s="3">
        <f t="shared" si="45"/>
        <v>1447</v>
      </c>
      <c r="D727" s="3">
        <f t="shared" si="46"/>
        <v>1448</v>
      </c>
      <c r="E727" s="3" t="str">
        <f t="shared" si="44"/>
        <v>dump:1221003173&amp;2221003173</v>
      </c>
      <c r="F727" s="3" t="str">
        <f t="shared" si="47"/>
        <v>哑资源设备_724</v>
      </c>
      <c r="G727" s="10" t="s">
        <v>406</v>
      </c>
      <c r="H727" s="3" t="str">
        <f>"检测机架"&amp;INDEX([1]机架!$D:$D,C727+3)&amp;IF(D727&lt;&gt;"","和"&amp;INDEX([1]机架!$D:$D,D727+3),"")&amp;"的数据"</f>
        <v>检测机架临沂金雀山の机架-13和临沂金雀山の机架-14的数据</v>
      </c>
      <c r="I727" s="3">
        <f>INDEX([1]机架!$C:$C,C727+3)</f>
        <v>3713001221</v>
      </c>
      <c r="J727" s="3">
        <f>IF(D727&lt;&gt;"",INDEX([1]机架!$C:$C,D727+3),0)</f>
        <v>3713001222</v>
      </c>
    </row>
    <row r="728" spans="1:10" ht="16.5" x14ac:dyDescent="0.2">
      <c r="A728" s="3" t="s">
        <v>393</v>
      </c>
      <c r="B728" s="3">
        <v>725</v>
      </c>
      <c r="C728" s="3">
        <f t="shared" si="45"/>
        <v>1449</v>
      </c>
      <c r="D728" s="3">
        <f t="shared" si="46"/>
        <v>1450</v>
      </c>
      <c r="E728" s="3" t="str">
        <f t="shared" si="44"/>
        <v>dump:3221003173&amp;1321003173</v>
      </c>
      <c r="F728" s="3" t="str">
        <f t="shared" si="47"/>
        <v>哑资源设备_725</v>
      </c>
      <c r="G728" s="10" t="s">
        <v>406</v>
      </c>
      <c r="H728" s="3" t="str">
        <f>"检测机架"&amp;INDEX([1]机架!$D:$D,C728+3)&amp;IF(D728&lt;&gt;"","和"&amp;INDEX([1]机架!$D:$D,D728+3),"")&amp;"的数据"</f>
        <v>检测机架临沂金雀山の机架-15和临沂金雀山の机架-16的数据</v>
      </c>
      <c r="I728" s="3">
        <f>INDEX([1]机架!$C:$C,C728+3)</f>
        <v>3713001223</v>
      </c>
      <c r="J728" s="3">
        <f>IF(D728&lt;&gt;"",INDEX([1]机架!$C:$C,D728+3),0)</f>
        <v>3713001231</v>
      </c>
    </row>
    <row r="729" spans="1:10" ht="16.5" x14ac:dyDescent="0.2">
      <c r="A729" s="3" t="s">
        <v>393</v>
      </c>
      <c r="B729" s="3">
        <v>726</v>
      </c>
      <c r="C729" s="3">
        <f t="shared" si="45"/>
        <v>1451</v>
      </c>
      <c r="D729" s="3">
        <f t="shared" si="46"/>
        <v>1452</v>
      </c>
      <c r="E729" s="3" t="str">
        <f t="shared" si="44"/>
        <v>dump:2321003173&amp;3321003173</v>
      </c>
      <c r="F729" s="3" t="str">
        <f t="shared" si="47"/>
        <v>哑资源设备_726</v>
      </c>
      <c r="G729" s="10" t="s">
        <v>406</v>
      </c>
      <c r="H729" s="3" t="str">
        <f>"检测机架"&amp;INDEX([1]机架!$D:$D,C729+3)&amp;IF(D729&lt;&gt;"","和"&amp;INDEX([1]机架!$D:$D,D729+3),"")&amp;"的数据"</f>
        <v>检测机架临沂金雀山の机架-17和临沂金雀山の机架-18的数据</v>
      </c>
      <c r="I729" s="3">
        <f>INDEX([1]机架!$C:$C,C729+3)</f>
        <v>3713001232</v>
      </c>
      <c r="J729" s="3">
        <f>IF(D729&lt;&gt;"",INDEX([1]机架!$C:$C,D729+3),0)</f>
        <v>3713001233</v>
      </c>
    </row>
    <row r="730" spans="1:10" ht="16.5" x14ac:dyDescent="0.2">
      <c r="A730" s="3" t="s">
        <v>393</v>
      </c>
      <c r="B730" s="3">
        <v>727</v>
      </c>
      <c r="C730" s="3">
        <f t="shared" si="45"/>
        <v>1453</v>
      </c>
      <c r="D730" s="3">
        <f t="shared" si="46"/>
        <v>1454</v>
      </c>
      <c r="E730" s="3" t="str">
        <f t="shared" si="44"/>
        <v>dump:1112003173&amp;2112003173</v>
      </c>
      <c r="F730" s="3" t="str">
        <f t="shared" si="47"/>
        <v>哑资源设备_727</v>
      </c>
      <c r="G730" s="10" t="s">
        <v>406</v>
      </c>
      <c r="H730" s="3" t="str">
        <f>"检测机架"&amp;INDEX([1]机架!$D:$D,C730+3)&amp;IF(D730&lt;&gt;"","和"&amp;INDEX([1]机架!$D:$D,D730+3),"")&amp;"的数据"</f>
        <v>检测机架临沂沂蒙路201局の机架-1和临沂沂蒙路201局の机架-2的数据</v>
      </c>
      <c r="I730" s="3">
        <f>INDEX([1]机架!$C:$C,C730+3)</f>
        <v>3713002111</v>
      </c>
      <c r="J730" s="3">
        <f>IF(D730&lt;&gt;"",INDEX([1]机架!$C:$C,D730+3),0)</f>
        <v>3713002112</v>
      </c>
    </row>
    <row r="731" spans="1:10" ht="16.5" x14ac:dyDescent="0.2">
      <c r="A731" s="3" t="s">
        <v>393</v>
      </c>
      <c r="B731" s="3">
        <v>728</v>
      </c>
      <c r="C731" s="3">
        <f t="shared" si="45"/>
        <v>1455</v>
      </c>
      <c r="D731" s="3">
        <f t="shared" si="46"/>
        <v>1456</v>
      </c>
      <c r="E731" s="3" t="str">
        <f t="shared" si="44"/>
        <v>dump:3112003173&amp;1212003173</v>
      </c>
      <c r="F731" s="3" t="str">
        <f t="shared" si="47"/>
        <v>哑资源设备_728</v>
      </c>
      <c r="G731" s="10" t="s">
        <v>406</v>
      </c>
      <c r="H731" s="3" t="str">
        <f>"检测机架"&amp;INDEX([1]机架!$D:$D,C731+3)&amp;IF(D731&lt;&gt;"","和"&amp;INDEX([1]机架!$D:$D,D731+3),"")&amp;"的数据"</f>
        <v>检测机架临沂沂蒙路201局の机架-3和临沂沂蒙路201局の机架-4的数据</v>
      </c>
      <c r="I731" s="3">
        <f>INDEX([1]机架!$C:$C,C731+3)</f>
        <v>3713002113</v>
      </c>
      <c r="J731" s="3">
        <f>IF(D731&lt;&gt;"",INDEX([1]机架!$C:$C,D731+3),0)</f>
        <v>3713002121</v>
      </c>
    </row>
    <row r="732" spans="1:10" ht="16.5" x14ac:dyDescent="0.2">
      <c r="A732" s="3" t="s">
        <v>393</v>
      </c>
      <c r="B732" s="3">
        <v>729</v>
      </c>
      <c r="C732" s="3">
        <f t="shared" si="45"/>
        <v>1457</v>
      </c>
      <c r="D732" s="3">
        <f t="shared" si="46"/>
        <v>1458</v>
      </c>
      <c r="E732" s="3" t="str">
        <f t="shared" si="44"/>
        <v>dump:2212003173&amp;3212003173</v>
      </c>
      <c r="F732" s="3" t="str">
        <f t="shared" si="47"/>
        <v>哑资源设备_729</v>
      </c>
      <c r="G732" s="10" t="s">
        <v>406</v>
      </c>
      <c r="H732" s="3" t="str">
        <f>"检测机架"&amp;INDEX([1]机架!$D:$D,C732+3)&amp;IF(D732&lt;&gt;"","和"&amp;INDEX([1]机架!$D:$D,D732+3),"")&amp;"的数据"</f>
        <v>检测机架临沂沂蒙路201局の机架-5和临沂沂蒙路201局の机架-6的数据</v>
      </c>
      <c r="I732" s="3">
        <f>INDEX([1]机架!$C:$C,C732+3)</f>
        <v>3713002122</v>
      </c>
      <c r="J732" s="3">
        <f>IF(D732&lt;&gt;"",INDEX([1]机架!$C:$C,D732+3),0)</f>
        <v>3713002123</v>
      </c>
    </row>
    <row r="733" spans="1:10" ht="16.5" x14ac:dyDescent="0.2">
      <c r="A733" s="3" t="s">
        <v>393</v>
      </c>
      <c r="B733" s="3">
        <v>730</v>
      </c>
      <c r="C733" s="3">
        <f t="shared" si="45"/>
        <v>1459</v>
      </c>
      <c r="D733" s="3">
        <f t="shared" si="46"/>
        <v>1460</v>
      </c>
      <c r="E733" s="3" t="str">
        <f t="shared" si="44"/>
        <v>dump:1312003173&amp;2312003173</v>
      </c>
      <c r="F733" s="3" t="str">
        <f t="shared" si="47"/>
        <v>哑资源设备_730</v>
      </c>
      <c r="G733" s="10" t="s">
        <v>406</v>
      </c>
      <c r="H733" s="3" t="str">
        <f>"检测机架"&amp;INDEX([1]机架!$D:$D,C733+3)&amp;IF(D733&lt;&gt;"","和"&amp;INDEX([1]机架!$D:$D,D733+3),"")&amp;"的数据"</f>
        <v>检测机架临沂沂蒙路201局の机架-7和临沂沂蒙路201局の机架-8的数据</v>
      </c>
      <c r="I733" s="3">
        <f>INDEX([1]机架!$C:$C,C733+3)</f>
        <v>3713002131</v>
      </c>
      <c r="J733" s="3">
        <f>IF(D733&lt;&gt;"",INDEX([1]机架!$C:$C,D733+3),0)</f>
        <v>3713002132</v>
      </c>
    </row>
    <row r="734" spans="1:10" ht="16.5" x14ac:dyDescent="0.2">
      <c r="A734" s="3" t="s">
        <v>393</v>
      </c>
      <c r="B734" s="3">
        <v>731</v>
      </c>
      <c r="C734" s="3">
        <f t="shared" si="45"/>
        <v>1461</v>
      </c>
      <c r="D734" s="3">
        <f t="shared" si="46"/>
        <v>1462</v>
      </c>
      <c r="E734" s="3" t="str">
        <f t="shared" si="44"/>
        <v>dump:3312003173&amp;1113003173</v>
      </c>
      <c r="F734" s="3" t="str">
        <f t="shared" si="47"/>
        <v>哑资源设备_731</v>
      </c>
      <c r="G734" s="10" t="s">
        <v>406</v>
      </c>
      <c r="H734" s="3" t="str">
        <f>"检测机架"&amp;INDEX([1]机架!$D:$D,C734+3)&amp;IF(D734&lt;&gt;"","和"&amp;INDEX([1]机架!$D:$D,D734+3),"")&amp;"的数据"</f>
        <v>检测机架临沂沂蒙路201局の机架-9和临沂沂蒙路の机架-1的数据</v>
      </c>
      <c r="I734" s="3">
        <f>INDEX([1]机架!$C:$C,C734+3)</f>
        <v>3713002133</v>
      </c>
      <c r="J734" s="3">
        <f>IF(D734&lt;&gt;"",INDEX([1]机架!$C:$C,D734+3),0)</f>
        <v>3713003111</v>
      </c>
    </row>
    <row r="735" spans="1:10" ht="16.5" x14ac:dyDescent="0.2">
      <c r="A735" s="3" t="s">
        <v>393</v>
      </c>
      <c r="B735" s="3">
        <v>732</v>
      </c>
      <c r="C735" s="3">
        <f t="shared" si="45"/>
        <v>1463</v>
      </c>
      <c r="D735" s="3">
        <f t="shared" si="46"/>
        <v>1464</v>
      </c>
      <c r="E735" s="3" t="str">
        <f t="shared" si="44"/>
        <v>dump:2113003173&amp;3113003173</v>
      </c>
      <c r="F735" s="3" t="str">
        <f t="shared" si="47"/>
        <v>哑资源设备_732</v>
      </c>
      <c r="G735" s="10" t="s">
        <v>406</v>
      </c>
      <c r="H735" s="3" t="str">
        <f>"检测机架"&amp;INDEX([1]机架!$D:$D,C735+3)&amp;IF(D735&lt;&gt;"","和"&amp;INDEX([1]机架!$D:$D,D735+3),"")&amp;"的数据"</f>
        <v>检测机架临沂沂蒙路の机架-2和临沂沂蒙路の机架-3的数据</v>
      </c>
      <c r="I735" s="3">
        <f>INDEX([1]机架!$C:$C,C735+3)</f>
        <v>3713003112</v>
      </c>
      <c r="J735" s="3">
        <f>IF(D735&lt;&gt;"",INDEX([1]机架!$C:$C,D735+3),0)</f>
        <v>3713003113</v>
      </c>
    </row>
    <row r="736" spans="1:10" ht="16.5" x14ac:dyDescent="0.2">
      <c r="A736" s="3" t="s">
        <v>393</v>
      </c>
      <c r="B736" s="3">
        <v>733</v>
      </c>
      <c r="C736" s="3">
        <f t="shared" si="45"/>
        <v>1465</v>
      </c>
      <c r="D736" s="3">
        <f t="shared" si="46"/>
        <v>1466</v>
      </c>
      <c r="E736" s="3" t="str">
        <f t="shared" si="44"/>
        <v>dump:1213003173&amp;2213003173</v>
      </c>
      <c r="F736" s="3" t="str">
        <f t="shared" si="47"/>
        <v>哑资源设备_733</v>
      </c>
      <c r="G736" s="10" t="s">
        <v>406</v>
      </c>
      <c r="H736" s="3" t="str">
        <f>"检测机架"&amp;INDEX([1]机架!$D:$D,C736+3)&amp;IF(D736&lt;&gt;"","和"&amp;INDEX([1]机架!$D:$D,D736+3),"")&amp;"的数据"</f>
        <v>检测机架临沂沂蒙路の机架-4和临沂沂蒙路の机架-5的数据</v>
      </c>
      <c r="I736" s="3">
        <f>INDEX([1]机架!$C:$C,C736+3)</f>
        <v>3713003121</v>
      </c>
      <c r="J736" s="3">
        <f>IF(D736&lt;&gt;"",INDEX([1]机架!$C:$C,D736+3),0)</f>
        <v>3713003122</v>
      </c>
    </row>
    <row r="737" spans="1:10" ht="16.5" x14ac:dyDescent="0.2">
      <c r="A737" s="3" t="s">
        <v>393</v>
      </c>
      <c r="B737" s="3">
        <v>734</v>
      </c>
      <c r="C737" s="3">
        <f t="shared" si="45"/>
        <v>1467</v>
      </c>
      <c r="D737" s="3">
        <f t="shared" si="46"/>
        <v>1468</v>
      </c>
      <c r="E737" s="3" t="str">
        <f t="shared" si="44"/>
        <v>dump:3213003173&amp;1313003173</v>
      </c>
      <c r="F737" s="3" t="str">
        <f t="shared" si="47"/>
        <v>哑资源设备_734</v>
      </c>
      <c r="G737" s="10" t="s">
        <v>406</v>
      </c>
      <c r="H737" s="3" t="str">
        <f>"检测机架"&amp;INDEX([1]机架!$D:$D,C737+3)&amp;IF(D737&lt;&gt;"","和"&amp;INDEX([1]机架!$D:$D,D737+3),"")&amp;"的数据"</f>
        <v>检测机架临沂沂蒙路の机架-6和临沂沂蒙路の机架-7的数据</v>
      </c>
      <c r="I737" s="3">
        <f>INDEX([1]机架!$C:$C,C737+3)</f>
        <v>3713003123</v>
      </c>
      <c r="J737" s="3">
        <f>IF(D737&lt;&gt;"",INDEX([1]机架!$C:$C,D737+3),0)</f>
        <v>3713003131</v>
      </c>
    </row>
    <row r="738" spans="1:10" ht="16.5" x14ac:dyDescent="0.2">
      <c r="A738" s="3" t="s">
        <v>393</v>
      </c>
      <c r="B738" s="3">
        <v>735</v>
      </c>
      <c r="C738" s="3">
        <f t="shared" si="45"/>
        <v>1469</v>
      </c>
      <c r="D738" s="3">
        <f t="shared" si="46"/>
        <v>1470</v>
      </c>
      <c r="E738" s="3" t="str">
        <f t="shared" si="44"/>
        <v>dump:2313003173&amp;3313003173</v>
      </c>
      <c r="F738" s="3" t="str">
        <f t="shared" si="47"/>
        <v>哑资源设备_735</v>
      </c>
      <c r="G738" s="10" t="s">
        <v>406</v>
      </c>
      <c r="H738" s="3" t="str">
        <f>"检测机架"&amp;INDEX([1]机架!$D:$D,C738+3)&amp;IF(D738&lt;&gt;"","和"&amp;INDEX([1]机架!$D:$D,D738+3),"")&amp;"的数据"</f>
        <v>检测机架临沂沂蒙路の机架-8和临沂沂蒙路の机架-9的数据</v>
      </c>
      <c r="I738" s="3">
        <f>INDEX([1]机架!$C:$C,C738+3)</f>
        <v>3713003132</v>
      </c>
      <c r="J738" s="3">
        <f>IF(D738&lt;&gt;"",INDEX([1]机架!$C:$C,D738+3),0)</f>
        <v>3713003133</v>
      </c>
    </row>
    <row r="739" spans="1:10" ht="16.5" x14ac:dyDescent="0.2">
      <c r="A739" s="3" t="s">
        <v>393</v>
      </c>
      <c r="B739" s="3">
        <v>736</v>
      </c>
      <c r="C739" s="3">
        <f t="shared" si="45"/>
        <v>1471</v>
      </c>
      <c r="D739" s="3">
        <f t="shared" si="46"/>
        <v>1472</v>
      </c>
      <c r="E739" s="3" t="str">
        <f t="shared" si="44"/>
        <v>dump:1114003173&amp;2114003173</v>
      </c>
      <c r="F739" s="3" t="str">
        <f t="shared" si="47"/>
        <v>哑资源设备_736</v>
      </c>
      <c r="G739" s="10" t="s">
        <v>406</v>
      </c>
      <c r="H739" s="3" t="str">
        <f>"检测机架"&amp;INDEX([1]机架!$D:$D,C739+3)&amp;IF(D739&lt;&gt;"","和"&amp;INDEX([1]机架!$D:$D,D739+3),"")&amp;"的数据"</f>
        <v>检测机架平邑老局の机架-1和平邑老局の机架-2的数据</v>
      </c>
      <c r="I739" s="3">
        <f>INDEX([1]机架!$C:$C,C739+3)</f>
        <v>3713004111</v>
      </c>
      <c r="J739" s="3">
        <f>IF(D739&lt;&gt;"",INDEX([1]机架!$C:$C,D739+3),0)</f>
        <v>3713004112</v>
      </c>
    </row>
    <row r="740" spans="1:10" ht="16.5" x14ac:dyDescent="0.2">
      <c r="A740" s="3" t="s">
        <v>393</v>
      </c>
      <c r="B740" s="3">
        <v>737</v>
      </c>
      <c r="C740" s="3">
        <f t="shared" si="45"/>
        <v>1473</v>
      </c>
      <c r="D740" s="3">
        <f t="shared" si="46"/>
        <v>1474</v>
      </c>
      <c r="E740" s="3" t="str">
        <f t="shared" si="44"/>
        <v>dump:3114003173&amp;1214003173</v>
      </c>
      <c r="F740" s="3" t="str">
        <f t="shared" si="47"/>
        <v>哑资源设备_737</v>
      </c>
      <c r="G740" s="10" t="s">
        <v>406</v>
      </c>
      <c r="H740" s="3" t="str">
        <f>"检测机架"&amp;INDEX([1]机架!$D:$D,C740+3)&amp;IF(D740&lt;&gt;"","和"&amp;INDEX([1]机架!$D:$D,D740+3),"")&amp;"的数据"</f>
        <v>检测机架平邑老局の机架-3和平邑老局の机架-4的数据</v>
      </c>
      <c r="I740" s="3">
        <f>INDEX([1]机架!$C:$C,C740+3)</f>
        <v>3713004113</v>
      </c>
      <c r="J740" s="3">
        <f>IF(D740&lt;&gt;"",INDEX([1]机架!$C:$C,D740+3),0)</f>
        <v>3713004121</v>
      </c>
    </row>
    <row r="741" spans="1:10" ht="16.5" x14ac:dyDescent="0.2">
      <c r="A741" s="3" t="s">
        <v>393</v>
      </c>
      <c r="B741" s="3">
        <v>738</v>
      </c>
      <c r="C741" s="3">
        <f t="shared" si="45"/>
        <v>1475</v>
      </c>
      <c r="D741" s="3">
        <f t="shared" si="46"/>
        <v>1476</v>
      </c>
      <c r="E741" s="3" t="str">
        <f t="shared" si="44"/>
        <v>dump:2214003173&amp;3214003173</v>
      </c>
      <c r="F741" s="3" t="str">
        <f t="shared" si="47"/>
        <v>哑资源设备_738</v>
      </c>
      <c r="G741" s="10" t="s">
        <v>406</v>
      </c>
      <c r="H741" s="3" t="str">
        <f>"检测机架"&amp;INDEX([1]机架!$D:$D,C741+3)&amp;IF(D741&lt;&gt;"","和"&amp;INDEX([1]机架!$D:$D,D741+3),"")&amp;"的数据"</f>
        <v>检测机架平邑老局の机架-5和平邑老局の机架-6的数据</v>
      </c>
      <c r="I741" s="3">
        <f>INDEX([1]机架!$C:$C,C741+3)</f>
        <v>3713004122</v>
      </c>
      <c r="J741" s="3">
        <f>IF(D741&lt;&gt;"",INDEX([1]机架!$C:$C,D741+3),0)</f>
        <v>3713004123</v>
      </c>
    </row>
    <row r="742" spans="1:10" ht="16.5" x14ac:dyDescent="0.2">
      <c r="A742" s="3" t="s">
        <v>393</v>
      </c>
      <c r="B742" s="3">
        <v>739</v>
      </c>
      <c r="C742" s="3">
        <f t="shared" si="45"/>
        <v>1477</v>
      </c>
      <c r="D742" s="3">
        <f t="shared" si="46"/>
        <v>1478</v>
      </c>
      <c r="E742" s="3" t="str">
        <f t="shared" si="44"/>
        <v>dump:1314003173&amp;2314003173</v>
      </c>
      <c r="F742" s="3" t="str">
        <f t="shared" si="47"/>
        <v>哑资源设备_739</v>
      </c>
      <c r="G742" s="10" t="s">
        <v>406</v>
      </c>
      <c r="H742" s="3" t="str">
        <f>"检测机架"&amp;INDEX([1]机架!$D:$D,C742+3)&amp;IF(D742&lt;&gt;"","和"&amp;INDEX([1]机架!$D:$D,D742+3),"")&amp;"的数据"</f>
        <v>检测机架平邑老局の机架-7和平邑老局の机架-8的数据</v>
      </c>
      <c r="I742" s="3">
        <f>INDEX([1]机架!$C:$C,C742+3)</f>
        <v>3713004131</v>
      </c>
      <c r="J742" s="3">
        <f>IF(D742&lt;&gt;"",INDEX([1]机架!$C:$C,D742+3),0)</f>
        <v>3713004132</v>
      </c>
    </row>
    <row r="743" spans="1:10" ht="16.5" x14ac:dyDescent="0.2">
      <c r="A743" s="3" t="s">
        <v>393</v>
      </c>
      <c r="B743" s="3">
        <v>740</v>
      </c>
      <c r="C743" s="3">
        <f t="shared" si="45"/>
        <v>1479</v>
      </c>
      <c r="D743" s="3">
        <f t="shared" si="46"/>
        <v>1480</v>
      </c>
      <c r="E743" s="3" t="str">
        <f t="shared" si="44"/>
        <v>dump:3314003173&amp;1115003173</v>
      </c>
      <c r="F743" s="3" t="str">
        <f t="shared" si="47"/>
        <v>哑资源设备_740</v>
      </c>
      <c r="G743" s="10" t="s">
        <v>406</v>
      </c>
      <c r="H743" s="3" t="str">
        <f>"检测机架"&amp;INDEX([1]机架!$D:$D,C743+3)&amp;IF(D743&lt;&gt;"","和"&amp;INDEX([1]机架!$D:$D,D743+3),"")&amp;"的数据"</f>
        <v>检测机架平邑老局の机架-9和费县和平路の机架-1的数据</v>
      </c>
      <c r="I743" s="3">
        <f>INDEX([1]机架!$C:$C,C743+3)</f>
        <v>3713004133</v>
      </c>
      <c r="J743" s="3">
        <f>IF(D743&lt;&gt;"",INDEX([1]机架!$C:$C,D743+3),0)</f>
        <v>3713005111</v>
      </c>
    </row>
    <row r="744" spans="1:10" ht="16.5" x14ac:dyDescent="0.2">
      <c r="A744" s="3" t="s">
        <v>393</v>
      </c>
      <c r="B744" s="3">
        <v>741</v>
      </c>
      <c r="C744" s="3">
        <f t="shared" si="45"/>
        <v>1481</v>
      </c>
      <c r="D744" s="3">
        <f t="shared" si="46"/>
        <v>1482</v>
      </c>
      <c r="E744" s="3" t="str">
        <f t="shared" si="44"/>
        <v>dump:2115003173&amp;3115003173</v>
      </c>
      <c r="F744" s="3" t="str">
        <f t="shared" si="47"/>
        <v>哑资源设备_741</v>
      </c>
      <c r="G744" s="10" t="s">
        <v>406</v>
      </c>
      <c r="H744" s="3" t="str">
        <f>"检测机架"&amp;INDEX([1]机架!$D:$D,C744+3)&amp;IF(D744&lt;&gt;"","和"&amp;INDEX([1]机架!$D:$D,D744+3),"")&amp;"的数据"</f>
        <v>检测机架费县和平路の机架-2和费县和平路の机架-3的数据</v>
      </c>
      <c r="I744" s="3">
        <f>INDEX([1]机架!$C:$C,C744+3)</f>
        <v>3713005112</v>
      </c>
      <c r="J744" s="3">
        <f>IF(D744&lt;&gt;"",INDEX([1]机架!$C:$C,D744+3),0)</f>
        <v>3713005113</v>
      </c>
    </row>
    <row r="745" spans="1:10" ht="16.5" x14ac:dyDescent="0.2">
      <c r="A745" s="3" t="s">
        <v>393</v>
      </c>
      <c r="B745" s="3">
        <v>742</v>
      </c>
      <c r="C745" s="3">
        <f t="shared" si="45"/>
        <v>1483</v>
      </c>
      <c r="D745" s="3">
        <f t="shared" si="46"/>
        <v>1484</v>
      </c>
      <c r="E745" s="3" t="str">
        <f t="shared" si="44"/>
        <v>dump:1215003173&amp;2215003173</v>
      </c>
      <c r="F745" s="3" t="str">
        <f t="shared" si="47"/>
        <v>哑资源设备_742</v>
      </c>
      <c r="G745" s="10" t="s">
        <v>406</v>
      </c>
      <c r="H745" s="3" t="str">
        <f>"检测机架"&amp;INDEX([1]机架!$D:$D,C745+3)&amp;IF(D745&lt;&gt;"","和"&amp;INDEX([1]机架!$D:$D,D745+3),"")&amp;"的数据"</f>
        <v>检测机架费县和平路の机架-4和费县和平路の机架-5的数据</v>
      </c>
      <c r="I745" s="3">
        <f>INDEX([1]机架!$C:$C,C745+3)</f>
        <v>3713005121</v>
      </c>
      <c r="J745" s="3">
        <f>IF(D745&lt;&gt;"",INDEX([1]机架!$C:$C,D745+3),0)</f>
        <v>3713005122</v>
      </c>
    </row>
    <row r="746" spans="1:10" ht="16.5" x14ac:dyDescent="0.2">
      <c r="A746" s="3" t="s">
        <v>393</v>
      </c>
      <c r="B746" s="3">
        <v>743</v>
      </c>
      <c r="C746" s="3">
        <f t="shared" si="45"/>
        <v>1485</v>
      </c>
      <c r="D746" s="3">
        <f t="shared" si="46"/>
        <v>1486</v>
      </c>
      <c r="E746" s="3" t="str">
        <f t="shared" si="44"/>
        <v>dump:3215003173&amp;1315003173</v>
      </c>
      <c r="F746" s="3" t="str">
        <f t="shared" si="47"/>
        <v>哑资源设备_743</v>
      </c>
      <c r="G746" s="10" t="s">
        <v>406</v>
      </c>
      <c r="H746" s="3" t="str">
        <f>"检测机架"&amp;INDEX([1]机架!$D:$D,C746+3)&amp;IF(D746&lt;&gt;"","和"&amp;INDEX([1]机架!$D:$D,D746+3),"")&amp;"的数据"</f>
        <v>检测机架费县和平路の机架-6和费县和平路の机架-7的数据</v>
      </c>
      <c r="I746" s="3">
        <f>INDEX([1]机架!$C:$C,C746+3)</f>
        <v>3713005123</v>
      </c>
      <c r="J746" s="3">
        <f>IF(D746&lt;&gt;"",INDEX([1]机架!$C:$C,D746+3),0)</f>
        <v>3713005131</v>
      </c>
    </row>
    <row r="747" spans="1:10" ht="16.5" x14ac:dyDescent="0.2">
      <c r="A747" s="3" t="s">
        <v>393</v>
      </c>
      <c r="B747" s="3">
        <v>744</v>
      </c>
      <c r="C747" s="3">
        <f t="shared" si="45"/>
        <v>1487</v>
      </c>
      <c r="D747" s="3">
        <f t="shared" si="46"/>
        <v>1488</v>
      </c>
      <c r="E747" s="3" t="str">
        <f t="shared" si="44"/>
        <v>dump:2315003173&amp;3315003173</v>
      </c>
      <c r="F747" s="3" t="str">
        <f t="shared" si="47"/>
        <v>哑资源设备_744</v>
      </c>
      <c r="G747" s="10" t="s">
        <v>406</v>
      </c>
      <c r="H747" s="3" t="str">
        <f>"检测机架"&amp;INDEX([1]机架!$D:$D,C747+3)&amp;IF(D747&lt;&gt;"","和"&amp;INDEX([1]机架!$D:$D,D747+3),"")&amp;"的数据"</f>
        <v>检测机架费县和平路の机架-8和费县和平路の机架-9的数据</v>
      </c>
      <c r="I747" s="3">
        <f>INDEX([1]机架!$C:$C,C747+3)</f>
        <v>3713005132</v>
      </c>
      <c r="J747" s="3">
        <f>IF(D747&lt;&gt;"",INDEX([1]机架!$C:$C,D747+3),0)</f>
        <v>3713005133</v>
      </c>
    </row>
    <row r="748" spans="1:10" ht="16.5" x14ac:dyDescent="0.2">
      <c r="A748" s="3" t="s">
        <v>393</v>
      </c>
      <c r="B748" s="3">
        <v>745</v>
      </c>
      <c r="C748" s="3">
        <f t="shared" si="45"/>
        <v>1489</v>
      </c>
      <c r="D748" s="3">
        <f t="shared" si="46"/>
        <v>1490</v>
      </c>
      <c r="E748" s="3" t="str">
        <f t="shared" si="44"/>
        <v>dump:1116003173&amp;2116003173</v>
      </c>
      <c r="F748" s="3" t="str">
        <f t="shared" si="47"/>
        <v>哑资源设备_745</v>
      </c>
      <c r="G748" s="10" t="s">
        <v>406</v>
      </c>
      <c r="H748" s="3" t="str">
        <f>"检测机架"&amp;INDEX([1]机架!$D:$D,C748+3)&amp;IF(D748&lt;&gt;"","和"&amp;INDEX([1]机架!$D:$D,D748+3),"")&amp;"的数据"</f>
        <v>检测机架沂水马站の机架-1和沂水马站の机架-2的数据</v>
      </c>
      <c r="I748" s="3">
        <f>INDEX([1]机架!$C:$C,C748+3)</f>
        <v>3713006111</v>
      </c>
      <c r="J748" s="3">
        <f>IF(D748&lt;&gt;"",INDEX([1]机架!$C:$C,D748+3),0)</f>
        <v>3713006112</v>
      </c>
    </row>
    <row r="749" spans="1:10" ht="16.5" x14ac:dyDescent="0.2">
      <c r="A749" s="3" t="s">
        <v>393</v>
      </c>
      <c r="B749" s="3">
        <v>746</v>
      </c>
      <c r="C749" s="3">
        <f t="shared" si="45"/>
        <v>1491</v>
      </c>
      <c r="D749" s="3">
        <f t="shared" si="46"/>
        <v>1492</v>
      </c>
      <c r="E749" s="3" t="str">
        <f t="shared" si="44"/>
        <v>dump:3116003173&amp;1216003173</v>
      </c>
      <c r="F749" s="3" t="str">
        <f t="shared" si="47"/>
        <v>哑资源设备_746</v>
      </c>
      <c r="G749" s="10" t="s">
        <v>406</v>
      </c>
      <c r="H749" s="3" t="str">
        <f>"检测机架"&amp;INDEX([1]机架!$D:$D,C749+3)&amp;IF(D749&lt;&gt;"","和"&amp;INDEX([1]机架!$D:$D,D749+3),"")&amp;"的数据"</f>
        <v>检测机架沂水马站の机架-3和沂水马站の机架-4的数据</v>
      </c>
      <c r="I749" s="3">
        <f>INDEX([1]机架!$C:$C,C749+3)</f>
        <v>3713006113</v>
      </c>
      <c r="J749" s="3">
        <f>IF(D749&lt;&gt;"",INDEX([1]机架!$C:$C,D749+3),0)</f>
        <v>3713006121</v>
      </c>
    </row>
    <row r="750" spans="1:10" ht="16.5" x14ac:dyDescent="0.2">
      <c r="A750" s="3" t="s">
        <v>393</v>
      </c>
      <c r="B750" s="3">
        <v>747</v>
      </c>
      <c r="C750" s="3">
        <f t="shared" si="45"/>
        <v>1493</v>
      </c>
      <c r="D750" s="3">
        <f t="shared" si="46"/>
        <v>1494</v>
      </c>
      <c r="E750" s="3" t="str">
        <f t="shared" si="44"/>
        <v>dump:2216003173&amp;3216003173</v>
      </c>
      <c r="F750" s="3" t="str">
        <f t="shared" si="47"/>
        <v>哑资源设备_747</v>
      </c>
      <c r="G750" s="10" t="s">
        <v>406</v>
      </c>
      <c r="H750" s="3" t="str">
        <f>"检测机架"&amp;INDEX([1]机架!$D:$D,C750+3)&amp;IF(D750&lt;&gt;"","和"&amp;INDEX([1]机架!$D:$D,D750+3),"")&amp;"的数据"</f>
        <v>检测机架沂水马站の机架-5和沂水马站の机架-6的数据</v>
      </c>
      <c r="I750" s="3">
        <f>INDEX([1]机架!$C:$C,C750+3)</f>
        <v>3713006122</v>
      </c>
      <c r="J750" s="3">
        <f>IF(D750&lt;&gt;"",INDEX([1]机架!$C:$C,D750+3),0)</f>
        <v>3713006123</v>
      </c>
    </row>
    <row r="751" spans="1:10" ht="16.5" x14ac:dyDescent="0.2">
      <c r="A751" s="3" t="s">
        <v>393</v>
      </c>
      <c r="B751" s="3">
        <v>748</v>
      </c>
      <c r="C751" s="3">
        <f t="shared" si="45"/>
        <v>1495</v>
      </c>
      <c r="D751" s="3">
        <f t="shared" si="46"/>
        <v>1496</v>
      </c>
      <c r="E751" s="3" t="str">
        <f t="shared" si="44"/>
        <v>dump:1316003173&amp;2316003173</v>
      </c>
      <c r="F751" s="3" t="str">
        <f t="shared" si="47"/>
        <v>哑资源设备_748</v>
      </c>
      <c r="G751" s="10" t="s">
        <v>406</v>
      </c>
      <c r="H751" s="3" t="str">
        <f>"检测机架"&amp;INDEX([1]机架!$D:$D,C751+3)&amp;IF(D751&lt;&gt;"","和"&amp;INDEX([1]机架!$D:$D,D751+3),"")&amp;"的数据"</f>
        <v>检测机架沂水马站の机架-7和沂水马站の机架-8的数据</v>
      </c>
      <c r="I751" s="3">
        <f>INDEX([1]机架!$C:$C,C751+3)</f>
        <v>3713006131</v>
      </c>
      <c r="J751" s="3">
        <f>IF(D751&lt;&gt;"",INDEX([1]机架!$C:$C,D751+3),0)</f>
        <v>3713006132</v>
      </c>
    </row>
    <row r="752" spans="1:10" ht="16.5" x14ac:dyDescent="0.2">
      <c r="A752" s="3" t="s">
        <v>393</v>
      </c>
      <c r="B752" s="3">
        <v>749</v>
      </c>
      <c r="C752" s="3">
        <f t="shared" si="45"/>
        <v>1497</v>
      </c>
      <c r="D752" s="3">
        <f t="shared" si="46"/>
        <v>1498</v>
      </c>
      <c r="E752" s="3" t="str">
        <f t="shared" si="44"/>
        <v>dump:3316003173&amp;1117003173</v>
      </c>
      <c r="F752" s="3" t="str">
        <f t="shared" si="47"/>
        <v>哑资源设备_749</v>
      </c>
      <c r="G752" s="10" t="s">
        <v>406</v>
      </c>
      <c r="H752" s="3" t="str">
        <f>"检测机架"&amp;INDEX([1]机架!$D:$D,C752+3)&amp;IF(D752&lt;&gt;"","和"&amp;INDEX([1]机架!$D:$D,D752+3),"")&amp;"的数据"</f>
        <v>检测机架沂水马站の机架-9和沂水中心街の机架-1的数据</v>
      </c>
      <c r="I752" s="3">
        <f>INDEX([1]机架!$C:$C,C752+3)</f>
        <v>3713006133</v>
      </c>
      <c r="J752" s="3">
        <f>IF(D752&lt;&gt;"",INDEX([1]机架!$C:$C,D752+3),0)</f>
        <v>3713007111</v>
      </c>
    </row>
    <row r="753" spans="1:10" ht="16.5" x14ac:dyDescent="0.2">
      <c r="A753" s="3" t="s">
        <v>393</v>
      </c>
      <c r="B753" s="3">
        <v>750</v>
      </c>
      <c r="C753" s="3">
        <f t="shared" si="45"/>
        <v>1499</v>
      </c>
      <c r="D753" s="3">
        <f t="shared" si="46"/>
        <v>1500</v>
      </c>
      <c r="E753" s="3" t="str">
        <f t="shared" si="44"/>
        <v>dump:2117003173&amp;3117003173</v>
      </c>
      <c r="F753" s="3" t="str">
        <f t="shared" si="47"/>
        <v>哑资源设备_750</v>
      </c>
      <c r="G753" s="10" t="s">
        <v>406</v>
      </c>
      <c r="H753" s="3" t="str">
        <f>"检测机架"&amp;INDEX([1]机架!$D:$D,C753+3)&amp;IF(D753&lt;&gt;"","和"&amp;INDEX([1]机架!$D:$D,D753+3),"")&amp;"的数据"</f>
        <v>检测机架沂水中心街の机架-2和沂水中心街の机架-3的数据</v>
      </c>
      <c r="I753" s="3">
        <f>INDEX([1]机架!$C:$C,C753+3)</f>
        <v>3713007112</v>
      </c>
      <c r="J753" s="3">
        <f>IF(D753&lt;&gt;"",INDEX([1]机架!$C:$C,D753+3),0)</f>
        <v>3713007113</v>
      </c>
    </row>
    <row r="754" spans="1:10" ht="16.5" x14ac:dyDescent="0.2">
      <c r="A754" s="3" t="s">
        <v>393</v>
      </c>
      <c r="B754" s="3">
        <v>751</v>
      </c>
      <c r="C754" s="3">
        <f t="shared" si="45"/>
        <v>1501</v>
      </c>
      <c r="D754" s="3">
        <f t="shared" si="46"/>
        <v>1502</v>
      </c>
      <c r="E754" s="3" t="str">
        <f t="shared" si="44"/>
        <v>dump:1217003173&amp;2217003173</v>
      </c>
      <c r="F754" s="3" t="str">
        <f t="shared" si="47"/>
        <v>哑资源设备_751</v>
      </c>
      <c r="G754" s="10" t="s">
        <v>406</v>
      </c>
      <c r="H754" s="3" t="str">
        <f>"检测机架"&amp;INDEX([1]机架!$D:$D,C754+3)&amp;IF(D754&lt;&gt;"","和"&amp;INDEX([1]机架!$D:$D,D754+3),"")&amp;"的数据"</f>
        <v>检测机架沂水中心街の机架-4和沂水中心街の机架-5的数据</v>
      </c>
      <c r="I754" s="3">
        <f>INDEX([1]机架!$C:$C,C754+3)</f>
        <v>3713007121</v>
      </c>
      <c r="J754" s="3">
        <f>IF(D754&lt;&gt;"",INDEX([1]机架!$C:$C,D754+3),0)</f>
        <v>3713007122</v>
      </c>
    </row>
    <row r="755" spans="1:10" ht="16.5" x14ac:dyDescent="0.2">
      <c r="A755" s="3" t="s">
        <v>393</v>
      </c>
      <c r="B755" s="3">
        <v>752</v>
      </c>
      <c r="C755" s="3">
        <f t="shared" si="45"/>
        <v>1503</v>
      </c>
      <c r="D755" s="3">
        <f t="shared" si="46"/>
        <v>1504</v>
      </c>
      <c r="E755" s="3" t="str">
        <f t="shared" si="44"/>
        <v>dump:3217003173&amp;1317003173</v>
      </c>
      <c r="F755" s="3" t="str">
        <f t="shared" si="47"/>
        <v>哑资源设备_752</v>
      </c>
      <c r="G755" s="10" t="s">
        <v>406</v>
      </c>
      <c r="H755" s="3" t="str">
        <f>"检测机架"&amp;INDEX([1]机架!$D:$D,C755+3)&amp;IF(D755&lt;&gt;"","和"&amp;INDEX([1]机架!$D:$D,D755+3),"")&amp;"的数据"</f>
        <v>检测机架沂水中心街の机架-6和沂水中心街の机架-7的数据</v>
      </c>
      <c r="I755" s="3">
        <f>INDEX([1]机架!$C:$C,C755+3)</f>
        <v>3713007123</v>
      </c>
      <c r="J755" s="3">
        <f>IF(D755&lt;&gt;"",INDEX([1]机架!$C:$C,D755+3),0)</f>
        <v>3713007131</v>
      </c>
    </row>
    <row r="756" spans="1:10" ht="16.5" x14ac:dyDescent="0.2">
      <c r="A756" s="3" t="s">
        <v>393</v>
      </c>
      <c r="B756" s="3">
        <v>753</v>
      </c>
      <c r="C756" s="3">
        <f t="shared" si="45"/>
        <v>1505</v>
      </c>
      <c r="D756" s="3">
        <f t="shared" si="46"/>
        <v>1506</v>
      </c>
      <c r="E756" s="3" t="str">
        <f t="shared" si="44"/>
        <v>dump:2317003173&amp;3317003173</v>
      </c>
      <c r="F756" s="3" t="str">
        <f t="shared" si="47"/>
        <v>哑资源设备_753</v>
      </c>
      <c r="G756" s="10" t="s">
        <v>406</v>
      </c>
      <c r="H756" s="3" t="str">
        <f>"检测机架"&amp;INDEX([1]机架!$D:$D,C756+3)&amp;IF(D756&lt;&gt;"","和"&amp;INDEX([1]机架!$D:$D,D756+3),"")&amp;"的数据"</f>
        <v>检测机架沂水中心街の机架-8和沂水中心街の机架-9的数据</v>
      </c>
      <c r="I756" s="3">
        <f>INDEX([1]机架!$C:$C,C756+3)</f>
        <v>3713007132</v>
      </c>
      <c r="J756" s="3">
        <f>IF(D756&lt;&gt;"",INDEX([1]机架!$C:$C,D756+3),0)</f>
        <v>3713007133</v>
      </c>
    </row>
    <row r="757" spans="1:10" ht="16.5" x14ac:dyDescent="0.2">
      <c r="A757" s="3" t="s">
        <v>393</v>
      </c>
      <c r="B757" s="3">
        <v>754</v>
      </c>
      <c r="C757" s="3">
        <f t="shared" si="45"/>
        <v>1507</v>
      </c>
      <c r="D757" s="3">
        <f t="shared" si="46"/>
        <v>1508</v>
      </c>
      <c r="E757" s="3" t="str">
        <f t="shared" si="44"/>
        <v>dump:1118003173&amp;2118003173</v>
      </c>
      <c r="F757" s="3" t="str">
        <f t="shared" si="47"/>
        <v>哑资源设备_754</v>
      </c>
      <c r="G757" s="10" t="s">
        <v>406</v>
      </c>
      <c r="H757" s="3" t="str">
        <f>"检测机架"&amp;INDEX([1]机架!$D:$D,C757+3)&amp;IF(D757&lt;&gt;"","和"&amp;INDEX([1]机架!$D:$D,D757+3),"")&amp;"的数据"</f>
        <v>检测机架河东汤头の机架-1和河东汤头の机架-2的数据</v>
      </c>
      <c r="I757" s="3">
        <f>INDEX([1]机架!$C:$C,C757+3)</f>
        <v>3713008111</v>
      </c>
      <c r="J757" s="3">
        <f>IF(D757&lt;&gt;"",INDEX([1]机架!$C:$C,D757+3),0)</f>
        <v>3713008112</v>
      </c>
    </row>
    <row r="758" spans="1:10" ht="16.5" x14ac:dyDescent="0.2">
      <c r="A758" s="3" t="s">
        <v>393</v>
      </c>
      <c r="B758" s="3">
        <v>755</v>
      </c>
      <c r="C758" s="3">
        <f t="shared" si="45"/>
        <v>1509</v>
      </c>
      <c r="D758" s="3">
        <f t="shared" si="46"/>
        <v>1510</v>
      </c>
      <c r="E758" s="3" t="str">
        <f t="shared" si="44"/>
        <v>dump:3118003173&amp;1218003173</v>
      </c>
      <c r="F758" s="3" t="str">
        <f t="shared" si="47"/>
        <v>哑资源设备_755</v>
      </c>
      <c r="G758" s="10" t="s">
        <v>406</v>
      </c>
      <c r="H758" s="3" t="str">
        <f>"检测机架"&amp;INDEX([1]机架!$D:$D,C758+3)&amp;IF(D758&lt;&gt;"","和"&amp;INDEX([1]机架!$D:$D,D758+3),"")&amp;"的数据"</f>
        <v>检测机架河东汤头の机架-3和河东汤头の机架-4的数据</v>
      </c>
      <c r="I758" s="3">
        <f>INDEX([1]机架!$C:$C,C758+3)</f>
        <v>3713008113</v>
      </c>
      <c r="J758" s="3">
        <f>IF(D758&lt;&gt;"",INDEX([1]机架!$C:$C,D758+3),0)</f>
        <v>3713008121</v>
      </c>
    </row>
    <row r="759" spans="1:10" ht="16.5" x14ac:dyDescent="0.2">
      <c r="A759" s="3" t="s">
        <v>393</v>
      </c>
      <c r="B759" s="3">
        <v>756</v>
      </c>
      <c r="C759" s="3">
        <f t="shared" si="45"/>
        <v>1511</v>
      </c>
      <c r="D759" s="3">
        <f t="shared" si="46"/>
        <v>1512</v>
      </c>
      <c r="E759" s="3" t="str">
        <f t="shared" si="44"/>
        <v>dump:2218003173&amp;3218003173</v>
      </c>
      <c r="F759" s="3" t="str">
        <f t="shared" si="47"/>
        <v>哑资源设备_756</v>
      </c>
      <c r="G759" s="10" t="s">
        <v>406</v>
      </c>
      <c r="H759" s="3" t="str">
        <f>"检测机架"&amp;INDEX([1]机架!$D:$D,C759+3)&amp;IF(D759&lt;&gt;"","和"&amp;INDEX([1]机架!$D:$D,D759+3),"")&amp;"的数据"</f>
        <v>检测机架河东汤头の机架-5和河东汤头の机架-6的数据</v>
      </c>
      <c r="I759" s="3">
        <f>INDEX([1]机架!$C:$C,C759+3)</f>
        <v>3713008122</v>
      </c>
      <c r="J759" s="3">
        <f>IF(D759&lt;&gt;"",INDEX([1]机架!$C:$C,D759+3),0)</f>
        <v>3713008123</v>
      </c>
    </row>
    <row r="760" spans="1:10" ht="16.5" x14ac:dyDescent="0.2">
      <c r="A760" s="3" t="s">
        <v>393</v>
      </c>
      <c r="B760" s="3">
        <v>757</v>
      </c>
      <c r="C760" s="3">
        <f t="shared" si="45"/>
        <v>1513</v>
      </c>
      <c r="D760" s="3">
        <f t="shared" si="46"/>
        <v>1514</v>
      </c>
      <c r="E760" s="3" t="str">
        <f t="shared" si="44"/>
        <v>dump:1318003173&amp;2318003173</v>
      </c>
      <c r="F760" s="3" t="str">
        <f t="shared" si="47"/>
        <v>哑资源设备_757</v>
      </c>
      <c r="G760" s="10" t="s">
        <v>406</v>
      </c>
      <c r="H760" s="3" t="str">
        <f>"检测机架"&amp;INDEX([1]机架!$D:$D,C760+3)&amp;IF(D760&lt;&gt;"","和"&amp;INDEX([1]机架!$D:$D,D760+3),"")&amp;"的数据"</f>
        <v>检测机架河东汤头の机架-7和河东汤头の机架-8的数据</v>
      </c>
      <c r="I760" s="3">
        <f>INDEX([1]机架!$C:$C,C760+3)</f>
        <v>3713008131</v>
      </c>
      <c r="J760" s="3">
        <f>IF(D760&lt;&gt;"",INDEX([1]机架!$C:$C,D760+3),0)</f>
        <v>3713008132</v>
      </c>
    </row>
    <row r="761" spans="1:10" ht="16.5" x14ac:dyDescent="0.2">
      <c r="A761" s="3" t="s">
        <v>393</v>
      </c>
      <c r="B761" s="3">
        <v>758</v>
      </c>
      <c r="C761" s="3">
        <f t="shared" si="45"/>
        <v>1515</v>
      </c>
      <c r="D761" s="3">
        <f t="shared" si="46"/>
        <v>1516</v>
      </c>
      <c r="E761" s="3" t="str">
        <f t="shared" si="44"/>
        <v>dump:3318003173&amp;1119003173</v>
      </c>
      <c r="F761" s="3" t="str">
        <f t="shared" si="47"/>
        <v>哑资源设备_758</v>
      </c>
      <c r="G761" s="10" t="s">
        <v>406</v>
      </c>
      <c r="H761" s="3" t="str">
        <f>"检测机架"&amp;INDEX([1]机架!$D:$D,C761+3)&amp;IF(D761&lt;&gt;"","和"&amp;INDEX([1]机架!$D:$D,D761+3),"")&amp;"的数据"</f>
        <v>检测机架河东汤头の机架-9和沂南花山路の机架-1的数据</v>
      </c>
      <c r="I761" s="3">
        <f>INDEX([1]机架!$C:$C,C761+3)</f>
        <v>3713008133</v>
      </c>
      <c r="J761" s="3">
        <f>IF(D761&lt;&gt;"",INDEX([1]机架!$C:$C,D761+3),0)</f>
        <v>3713009111</v>
      </c>
    </row>
    <row r="762" spans="1:10" ht="16.5" x14ac:dyDescent="0.2">
      <c r="A762" s="3" t="s">
        <v>393</v>
      </c>
      <c r="B762" s="3">
        <v>759</v>
      </c>
      <c r="C762" s="3">
        <f t="shared" si="45"/>
        <v>1517</v>
      </c>
      <c r="D762" s="3">
        <f t="shared" si="46"/>
        <v>1518</v>
      </c>
      <c r="E762" s="3" t="str">
        <f t="shared" si="44"/>
        <v>dump:2119003173&amp;3119003173</v>
      </c>
      <c r="F762" s="3" t="str">
        <f t="shared" si="47"/>
        <v>哑资源设备_759</v>
      </c>
      <c r="G762" s="10" t="s">
        <v>406</v>
      </c>
      <c r="H762" s="3" t="str">
        <f>"检测机架"&amp;INDEX([1]机架!$D:$D,C762+3)&amp;IF(D762&lt;&gt;"","和"&amp;INDEX([1]机架!$D:$D,D762+3),"")&amp;"的数据"</f>
        <v>检测机架沂南花山路の机架-2和沂南花山路の机架-3的数据</v>
      </c>
      <c r="I762" s="3">
        <f>INDEX([1]机架!$C:$C,C762+3)</f>
        <v>3713009112</v>
      </c>
      <c r="J762" s="3">
        <f>IF(D762&lt;&gt;"",INDEX([1]机架!$C:$C,D762+3),0)</f>
        <v>3713009113</v>
      </c>
    </row>
    <row r="763" spans="1:10" ht="16.5" x14ac:dyDescent="0.2">
      <c r="A763" s="3" t="s">
        <v>393</v>
      </c>
      <c r="B763" s="3">
        <v>760</v>
      </c>
      <c r="C763" s="3">
        <f t="shared" si="45"/>
        <v>1519</v>
      </c>
      <c r="D763" s="3">
        <f t="shared" si="46"/>
        <v>1520</v>
      </c>
      <c r="E763" s="3" t="str">
        <f t="shared" si="44"/>
        <v>dump:1219003173&amp;2219003173</v>
      </c>
      <c r="F763" s="3" t="str">
        <f t="shared" si="47"/>
        <v>哑资源设备_760</v>
      </c>
      <c r="G763" s="10" t="s">
        <v>406</v>
      </c>
      <c r="H763" s="3" t="str">
        <f>"检测机架"&amp;INDEX([1]机架!$D:$D,C763+3)&amp;IF(D763&lt;&gt;"","和"&amp;INDEX([1]机架!$D:$D,D763+3),"")&amp;"的数据"</f>
        <v>检测机架沂南花山路の机架-4和沂南花山路の机架-5的数据</v>
      </c>
      <c r="I763" s="3">
        <f>INDEX([1]机架!$C:$C,C763+3)</f>
        <v>3713009121</v>
      </c>
      <c r="J763" s="3">
        <f>IF(D763&lt;&gt;"",INDEX([1]机架!$C:$C,D763+3),0)</f>
        <v>3713009122</v>
      </c>
    </row>
    <row r="764" spans="1:10" ht="16.5" x14ac:dyDescent="0.2">
      <c r="A764" s="3" t="s">
        <v>393</v>
      </c>
      <c r="B764" s="3">
        <v>761</v>
      </c>
      <c r="C764" s="3">
        <f t="shared" si="45"/>
        <v>1521</v>
      </c>
      <c r="D764" s="3">
        <f t="shared" si="46"/>
        <v>1522</v>
      </c>
      <c r="E764" s="3" t="str">
        <f t="shared" si="44"/>
        <v>dump:3219003173&amp;1319003173</v>
      </c>
      <c r="F764" s="3" t="str">
        <f t="shared" si="47"/>
        <v>哑资源设备_761</v>
      </c>
      <c r="G764" s="10" t="s">
        <v>406</v>
      </c>
      <c r="H764" s="3" t="str">
        <f>"检测机架"&amp;INDEX([1]机架!$D:$D,C764+3)&amp;IF(D764&lt;&gt;"","和"&amp;INDEX([1]机架!$D:$D,D764+3),"")&amp;"的数据"</f>
        <v>检测机架沂南花山路の机架-6和沂南花山路の机架-7的数据</v>
      </c>
      <c r="I764" s="3">
        <f>INDEX([1]机架!$C:$C,C764+3)</f>
        <v>3713009123</v>
      </c>
      <c r="J764" s="3">
        <f>IF(D764&lt;&gt;"",INDEX([1]机架!$C:$C,D764+3),0)</f>
        <v>3713009131</v>
      </c>
    </row>
    <row r="765" spans="1:10" ht="16.5" x14ac:dyDescent="0.2">
      <c r="A765" s="3" t="s">
        <v>393</v>
      </c>
      <c r="B765" s="3">
        <v>762</v>
      </c>
      <c r="C765" s="3">
        <f t="shared" si="45"/>
        <v>1523</v>
      </c>
      <c r="D765" s="3">
        <f t="shared" si="46"/>
        <v>1524</v>
      </c>
      <c r="E765" s="3" t="str">
        <f t="shared" si="44"/>
        <v>dump:2319003173&amp;3319003173</v>
      </c>
      <c r="F765" s="3" t="str">
        <f t="shared" si="47"/>
        <v>哑资源设备_762</v>
      </c>
      <c r="G765" s="10" t="s">
        <v>406</v>
      </c>
      <c r="H765" s="3" t="str">
        <f>"检测机架"&amp;INDEX([1]机架!$D:$D,C765+3)&amp;IF(D765&lt;&gt;"","和"&amp;INDEX([1]机架!$D:$D,D765+3),"")&amp;"的数据"</f>
        <v>检测机架沂南花山路の机架-8和沂南花山路の机架-9的数据</v>
      </c>
      <c r="I765" s="3">
        <f>INDEX([1]机架!$C:$C,C765+3)</f>
        <v>3713009132</v>
      </c>
      <c r="J765" s="3">
        <f>IF(D765&lt;&gt;"",INDEX([1]机架!$C:$C,D765+3),0)</f>
        <v>3713009133</v>
      </c>
    </row>
    <row r="766" spans="1:10" ht="16.5" x14ac:dyDescent="0.2">
      <c r="A766" s="3" t="s">
        <v>393</v>
      </c>
      <c r="B766" s="3">
        <v>763</v>
      </c>
      <c r="C766" s="3">
        <f t="shared" si="45"/>
        <v>1525</v>
      </c>
      <c r="D766" s="3">
        <f t="shared" si="46"/>
        <v>1526</v>
      </c>
      <c r="E766" s="3" t="str">
        <f t="shared" si="44"/>
        <v>dump:1110103173&amp;2110103173</v>
      </c>
      <c r="F766" s="3" t="str">
        <f t="shared" si="47"/>
        <v>哑资源设备_763</v>
      </c>
      <c r="G766" s="10" t="s">
        <v>406</v>
      </c>
      <c r="H766" s="3" t="str">
        <f>"检测机架"&amp;INDEX([1]机架!$D:$D,C766+3)&amp;IF(D766&lt;&gt;"","和"&amp;INDEX([1]机架!$D:$D,D766+3),"")&amp;"的数据"</f>
        <v>检测机架沂南_苏村_牛家小河基站の机架-1和沂南_苏村_牛家小河基站の机架-2的数据</v>
      </c>
      <c r="I766" s="3">
        <f>INDEX([1]机架!$C:$C,C766+3)</f>
        <v>3713010111</v>
      </c>
      <c r="J766" s="3">
        <f>IF(D766&lt;&gt;"",INDEX([1]机架!$C:$C,D766+3),0)</f>
        <v>3713010112</v>
      </c>
    </row>
    <row r="767" spans="1:10" ht="16.5" x14ac:dyDescent="0.2">
      <c r="A767" s="3" t="s">
        <v>393</v>
      </c>
      <c r="B767" s="3">
        <v>764</v>
      </c>
      <c r="C767" s="3">
        <f t="shared" si="45"/>
        <v>1527</v>
      </c>
      <c r="D767" s="3">
        <f t="shared" si="46"/>
        <v>1528</v>
      </c>
      <c r="E767" s="3" t="str">
        <f t="shared" si="44"/>
        <v>dump:3110103173&amp;1210103173</v>
      </c>
      <c r="F767" s="3" t="str">
        <f t="shared" si="47"/>
        <v>哑资源设备_764</v>
      </c>
      <c r="G767" s="10" t="s">
        <v>406</v>
      </c>
      <c r="H767" s="3" t="str">
        <f>"检测机架"&amp;INDEX([1]机架!$D:$D,C767+3)&amp;IF(D767&lt;&gt;"","和"&amp;INDEX([1]机架!$D:$D,D767+3),"")&amp;"的数据"</f>
        <v>检测机架沂南_苏村_牛家小河基站の机架-3和沂南_苏村_牛家小河基站の机架-4的数据</v>
      </c>
      <c r="I767" s="3">
        <f>INDEX([1]机架!$C:$C,C767+3)</f>
        <v>3713010113</v>
      </c>
      <c r="J767" s="3">
        <f>IF(D767&lt;&gt;"",INDEX([1]机架!$C:$C,D767+3),0)</f>
        <v>3713010121</v>
      </c>
    </row>
    <row r="768" spans="1:10" ht="16.5" x14ac:dyDescent="0.2">
      <c r="A768" s="3" t="s">
        <v>393</v>
      </c>
      <c r="B768" s="3">
        <v>765</v>
      </c>
      <c r="C768" s="3">
        <f t="shared" si="45"/>
        <v>1529</v>
      </c>
      <c r="D768" s="3">
        <f t="shared" si="46"/>
        <v>1530</v>
      </c>
      <c r="E768" s="3" t="str">
        <f t="shared" si="44"/>
        <v>dump:2210103173&amp;3210103173</v>
      </c>
      <c r="F768" s="3" t="str">
        <f t="shared" si="47"/>
        <v>哑资源设备_765</v>
      </c>
      <c r="G768" s="10" t="s">
        <v>406</v>
      </c>
      <c r="H768" s="3" t="str">
        <f>"检测机架"&amp;INDEX([1]机架!$D:$D,C768+3)&amp;IF(D768&lt;&gt;"","和"&amp;INDEX([1]机架!$D:$D,D768+3),"")&amp;"的数据"</f>
        <v>检测机架沂南_苏村_牛家小河基站の机架-5和沂南_苏村_牛家小河基站の机架-6的数据</v>
      </c>
      <c r="I768" s="3">
        <f>INDEX([1]机架!$C:$C,C768+3)</f>
        <v>3713010122</v>
      </c>
      <c r="J768" s="3">
        <f>IF(D768&lt;&gt;"",INDEX([1]机架!$C:$C,D768+3),0)</f>
        <v>3713010123</v>
      </c>
    </row>
    <row r="769" spans="1:10" ht="16.5" x14ac:dyDescent="0.2">
      <c r="A769" s="3" t="s">
        <v>393</v>
      </c>
      <c r="B769" s="3">
        <v>766</v>
      </c>
      <c r="C769" s="3">
        <f t="shared" si="45"/>
        <v>1531</v>
      </c>
      <c r="D769" s="3">
        <f t="shared" si="46"/>
        <v>1532</v>
      </c>
      <c r="E769" s="3" t="str">
        <f t="shared" si="44"/>
        <v>dump:1310103173&amp;2310103173</v>
      </c>
      <c r="F769" s="3" t="str">
        <f t="shared" si="47"/>
        <v>哑资源设备_766</v>
      </c>
      <c r="G769" s="10" t="s">
        <v>406</v>
      </c>
      <c r="H769" s="3" t="str">
        <f>"检测机架"&amp;INDEX([1]机架!$D:$D,C769+3)&amp;IF(D769&lt;&gt;"","和"&amp;INDEX([1]机架!$D:$D,D769+3),"")&amp;"的数据"</f>
        <v>检测机架沂南_苏村_牛家小河基站の机架-7和沂南_苏村_牛家小河基站の机架-8的数据</v>
      </c>
      <c r="I769" s="3">
        <f>INDEX([1]机架!$C:$C,C769+3)</f>
        <v>3713010131</v>
      </c>
      <c r="J769" s="3">
        <f>IF(D769&lt;&gt;"",INDEX([1]机架!$C:$C,D769+3),0)</f>
        <v>3713010132</v>
      </c>
    </row>
    <row r="770" spans="1:10" ht="16.5" x14ac:dyDescent="0.2">
      <c r="A770" s="3" t="s">
        <v>393</v>
      </c>
      <c r="B770" s="3">
        <v>767</v>
      </c>
      <c r="C770" s="3">
        <f t="shared" si="45"/>
        <v>1533</v>
      </c>
      <c r="D770" s="3">
        <f t="shared" si="46"/>
        <v>1534</v>
      </c>
      <c r="E770" s="3" t="str">
        <f t="shared" si="44"/>
        <v>dump:3310103173&amp;1111103173</v>
      </c>
      <c r="F770" s="3" t="str">
        <f t="shared" si="47"/>
        <v>哑资源设备_767</v>
      </c>
      <c r="G770" s="10" t="s">
        <v>406</v>
      </c>
      <c r="H770" s="3" t="str">
        <f>"检测机架"&amp;INDEX([1]机架!$D:$D,C770+3)&amp;IF(D770&lt;&gt;"","和"&amp;INDEX([1]机架!$D:$D,D770+3),"")&amp;"的数据"</f>
        <v>检测机架沂南_苏村_牛家小河基站の机架-9和苍山塔山路の机架-1的数据</v>
      </c>
      <c r="I770" s="3">
        <f>INDEX([1]机架!$C:$C,C770+3)</f>
        <v>3713010133</v>
      </c>
      <c r="J770" s="3">
        <f>IF(D770&lt;&gt;"",INDEX([1]机架!$C:$C,D770+3),0)</f>
        <v>3713011111</v>
      </c>
    </row>
    <row r="771" spans="1:10" ht="16.5" x14ac:dyDescent="0.2">
      <c r="A771" s="3" t="s">
        <v>393</v>
      </c>
      <c r="B771" s="3">
        <v>768</v>
      </c>
      <c r="C771" s="3">
        <f t="shared" si="45"/>
        <v>1535</v>
      </c>
      <c r="D771" s="3">
        <f t="shared" si="46"/>
        <v>1536</v>
      </c>
      <c r="E771" s="3" t="str">
        <f t="shared" si="44"/>
        <v>dump:2111103173&amp;3111103173</v>
      </c>
      <c r="F771" s="3" t="str">
        <f t="shared" si="47"/>
        <v>哑资源设备_768</v>
      </c>
      <c r="G771" s="10" t="s">
        <v>406</v>
      </c>
      <c r="H771" s="3" t="str">
        <f>"检测机架"&amp;INDEX([1]机架!$D:$D,C771+3)&amp;IF(D771&lt;&gt;"","和"&amp;INDEX([1]机架!$D:$D,D771+3),"")&amp;"的数据"</f>
        <v>检测机架苍山塔山路の机架-2和苍山塔山路の机架-3的数据</v>
      </c>
      <c r="I771" s="3">
        <f>INDEX([1]机架!$C:$C,C771+3)</f>
        <v>3713011112</v>
      </c>
      <c r="J771" s="3">
        <f>IF(D771&lt;&gt;"",INDEX([1]机架!$C:$C,D771+3),0)</f>
        <v>3713011113</v>
      </c>
    </row>
    <row r="772" spans="1:10" ht="16.5" x14ac:dyDescent="0.2">
      <c r="A772" s="3" t="s">
        <v>393</v>
      </c>
      <c r="B772" s="3">
        <v>769</v>
      </c>
      <c r="C772" s="3">
        <f t="shared" si="45"/>
        <v>1537</v>
      </c>
      <c r="D772" s="3">
        <f t="shared" si="46"/>
        <v>1538</v>
      </c>
      <c r="E772" s="3" t="str">
        <f t="shared" ref="E772:E835" si="48">"dump:"&amp;Reverse(I772)&amp;"&amp;"&amp;Reverse(J772)</f>
        <v>dump:1211103173&amp;2211103173</v>
      </c>
      <c r="F772" s="3" t="str">
        <f t="shared" si="47"/>
        <v>哑资源设备_769</v>
      </c>
      <c r="G772" s="10" t="s">
        <v>406</v>
      </c>
      <c r="H772" s="3" t="str">
        <f>"检测机架"&amp;INDEX([1]机架!$D:$D,C772+3)&amp;IF(D772&lt;&gt;"","和"&amp;INDEX([1]机架!$D:$D,D772+3),"")&amp;"的数据"</f>
        <v>检测机架苍山塔山路の机架-4和苍山塔山路の机架-5的数据</v>
      </c>
      <c r="I772" s="3">
        <f>INDEX([1]机架!$C:$C,C772+3)</f>
        <v>3713011121</v>
      </c>
      <c r="J772" s="3">
        <f>IF(D772&lt;&gt;"",INDEX([1]机架!$C:$C,D772+3),0)</f>
        <v>3713011122</v>
      </c>
    </row>
    <row r="773" spans="1:10" ht="16.5" x14ac:dyDescent="0.2">
      <c r="A773" s="3" t="s">
        <v>393</v>
      </c>
      <c r="B773" s="3">
        <v>770</v>
      </c>
      <c r="C773" s="3">
        <f t="shared" ref="C773:C836" si="49">MOD(B773-1,INT(($N$3+1)/2))*2+1</f>
        <v>1539</v>
      </c>
      <c r="D773" s="3">
        <f t="shared" ref="D773:D836" si="50">IF(C773&lt;$N$3,MOD(B773-1,INT(($N$3+1)/2))*2+2,"")</f>
        <v>1540</v>
      </c>
      <c r="E773" s="3" t="str">
        <f t="shared" si="48"/>
        <v>dump:3211103173&amp;1311103173</v>
      </c>
      <c r="F773" s="3" t="str">
        <f t="shared" ref="F773:F836" si="51">"哑资源设备_"&amp;B773</f>
        <v>哑资源设备_770</v>
      </c>
      <c r="G773" s="10" t="s">
        <v>406</v>
      </c>
      <c r="H773" s="3" t="str">
        <f>"检测机架"&amp;INDEX([1]机架!$D:$D,C773+3)&amp;IF(D773&lt;&gt;"","和"&amp;INDEX([1]机架!$D:$D,D773+3),"")&amp;"的数据"</f>
        <v>检测机架苍山塔山路の机架-6和苍山塔山路の机架-7的数据</v>
      </c>
      <c r="I773" s="3">
        <f>INDEX([1]机架!$C:$C,C773+3)</f>
        <v>3713011123</v>
      </c>
      <c r="J773" s="3">
        <f>IF(D773&lt;&gt;"",INDEX([1]机架!$C:$C,D773+3),0)</f>
        <v>3713011131</v>
      </c>
    </row>
    <row r="774" spans="1:10" ht="16.5" x14ac:dyDescent="0.2">
      <c r="A774" s="3" t="s">
        <v>393</v>
      </c>
      <c r="B774" s="3">
        <v>771</v>
      </c>
      <c r="C774" s="3">
        <f t="shared" si="49"/>
        <v>1541</v>
      </c>
      <c r="D774" s="3">
        <f t="shared" si="50"/>
        <v>1542</v>
      </c>
      <c r="E774" s="3" t="str">
        <f t="shared" si="48"/>
        <v>dump:2311103173&amp;3311103173</v>
      </c>
      <c r="F774" s="3" t="str">
        <f t="shared" si="51"/>
        <v>哑资源设备_771</v>
      </c>
      <c r="G774" s="10" t="s">
        <v>406</v>
      </c>
      <c r="H774" s="3" t="str">
        <f>"检测机架"&amp;INDEX([1]机架!$D:$D,C774+3)&amp;IF(D774&lt;&gt;"","和"&amp;INDEX([1]机架!$D:$D,D774+3),"")&amp;"的数据"</f>
        <v>检测机架苍山塔山路の机架-8和苍山塔山路の机架-9的数据</v>
      </c>
      <c r="I774" s="3">
        <f>INDEX([1]机架!$C:$C,C774+3)</f>
        <v>3713011132</v>
      </c>
      <c r="J774" s="3">
        <f>IF(D774&lt;&gt;"",INDEX([1]机架!$C:$C,D774+3),0)</f>
        <v>3713011133</v>
      </c>
    </row>
    <row r="775" spans="1:10" ht="16.5" x14ac:dyDescent="0.2">
      <c r="A775" s="3" t="s">
        <v>393</v>
      </c>
      <c r="B775" s="3">
        <v>772</v>
      </c>
      <c r="C775" s="3">
        <f t="shared" si="49"/>
        <v>1543</v>
      </c>
      <c r="D775" s="3">
        <f t="shared" si="50"/>
        <v>1544</v>
      </c>
      <c r="E775" s="3" t="str">
        <f t="shared" si="48"/>
        <v>dump:1112103173&amp;2112103173</v>
      </c>
      <c r="F775" s="3" t="str">
        <f t="shared" si="51"/>
        <v>哑资源设备_772</v>
      </c>
      <c r="G775" s="10" t="s">
        <v>406</v>
      </c>
      <c r="H775" s="3" t="str">
        <f>"检测机架"&amp;INDEX([1]机架!$D:$D,C775+3)&amp;IF(D775&lt;&gt;"","和"&amp;INDEX([1]机架!$D:$D,D775+3),"")&amp;"的数据"</f>
        <v>检测机架莒南十泉路の机架-1和莒南十泉路の机架-2的数据</v>
      </c>
      <c r="I775" s="3">
        <f>INDEX([1]机架!$C:$C,C775+3)</f>
        <v>3713012111</v>
      </c>
      <c r="J775" s="3">
        <f>IF(D775&lt;&gt;"",INDEX([1]机架!$C:$C,D775+3),0)</f>
        <v>3713012112</v>
      </c>
    </row>
    <row r="776" spans="1:10" ht="16.5" x14ac:dyDescent="0.2">
      <c r="A776" s="3" t="s">
        <v>393</v>
      </c>
      <c r="B776" s="3">
        <v>773</v>
      </c>
      <c r="C776" s="3">
        <f t="shared" si="49"/>
        <v>1545</v>
      </c>
      <c r="D776" s="3">
        <f t="shared" si="50"/>
        <v>1546</v>
      </c>
      <c r="E776" s="3" t="str">
        <f t="shared" si="48"/>
        <v>dump:3112103173&amp;1212103173</v>
      </c>
      <c r="F776" s="3" t="str">
        <f t="shared" si="51"/>
        <v>哑资源设备_773</v>
      </c>
      <c r="G776" s="10" t="s">
        <v>406</v>
      </c>
      <c r="H776" s="3" t="str">
        <f>"检测机架"&amp;INDEX([1]机架!$D:$D,C776+3)&amp;IF(D776&lt;&gt;"","和"&amp;INDEX([1]机架!$D:$D,D776+3),"")&amp;"的数据"</f>
        <v>检测机架莒南十泉路の机架-3和莒南十泉路の机架-4的数据</v>
      </c>
      <c r="I776" s="3">
        <f>INDEX([1]机架!$C:$C,C776+3)</f>
        <v>3713012113</v>
      </c>
      <c r="J776" s="3">
        <f>IF(D776&lt;&gt;"",INDEX([1]机架!$C:$C,D776+3),0)</f>
        <v>3713012121</v>
      </c>
    </row>
    <row r="777" spans="1:10" ht="16.5" x14ac:dyDescent="0.2">
      <c r="A777" s="3" t="s">
        <v>393</v>
      </c>
      <c r="B777" s="3">
        <v>774</v>
      </c>
      <c r="C777" s="3">
        <f t="shared" si="49"/>
        <v>1547</v>
      </c>
      <c r="D777" s="3">
        <f t="shared" si="50"/>
        <v>1548</v>
      </c>
      <c r="E777" s="3" t="str">
        <f t="shared" si="48"/>
        <v>dump:2212103173&amp;3212103173</v>
      </c>
      <c r="F777" s="3" t="str">
        <f t="shared" si="51"/>
        <v>哑资源设备_774</v>
      </c>
      <c r="G777" s="10" t="s">
        <v>406</v>
      </c>
      <c r="H777" s="3" t="str">
        <f>"检测机架"&amp;INDEX([1]机架!$D:$D,C777+3)&amp;IF(D777&lt;&gt;"","和"&amp;INDEX([1]机架!$D:$D,D777+3),"")&amp;"的数据"</f>
        <v>检测机架莒南十泉路の机架-5和莒南十泉路の机架-6的数据</v>
      </c>
      <c r="I777" s="3">
        <f>INDEX([1]机架!$C:$C,C777+3)</f>
        <v>3713012122</v>
      </c>
      <c r="J777" s="3">
        <f>IF(D777&lt;&gt;"",INDEX([1]机架!$C:$C,D777+3),0)</f>
        <v>3713012123</v>
      </c>
    </row>
    <row r="778" spans="1:10" ht="16.5" x14ac:dyDescent="0.2">
      <c r="A778" s="3" t="s">
        <v>393</v>
      </c>
      <c r="B778" s="3">
        <v>775</v>
      </c>
      <c r="C778" s="3">
        <f t="shared" si="49"/>
        <v>1549</v>
      </c>
      <c r="D778" s="3">
        <f t="shared" si="50"/>
        <v>1550</v>
      </c>
      <c r="E778" s="3" t="str">
        <f t="shared" si="48"/>
        <v>dump:1312103173&amp;2312103173</v>
      </c>
      <c r="F778" s="3" t="str">
        <f t="shared" si="51"/>
        <v>哑资源设备_775</v>
      </c>
      <c r="G778" s="10" t="s">
        <v>406</v>
      </c>
      <c r="H778" s="3" t="str">
        <f>"检测机架"&amp;INDEX([1]机架!$D:$D,C778+3)&amp;IF(D778&lt;&gt;"","和"&amp;INDEX([1]机架!$D:$D,D778+3),"")&amp;"的数据"</f>
        <v>检测机架莒南十泉路の机架-7和莒南十泉路の机架-8的数据</v>
      </c>
      <c r="I778" s="3">
        <f>INDEX([1]机架!$C:$C,C778+3)</f>
        <v>3713012131</v>
      </c>
      <c r="J778" s="3">
        <f>IF(D778&lt;&gt;"",INDEX([1]机架!$C:$C,D778+3),0)</f>
        <v>3713012132</v>
      </c>
    </row>
    <row r="779" spans="1:10" ht="16.5" x14ac:dyDescent="0.2">
      <c r="A779" s="3" t="s">
        <v>393</v>
      </c>
      <c r="B779" s="3">
        <v>776</v>
      </c>
      <c r="C779" s="3">
        <f t="shared" si="49"/>
        <v>1551</v>
      </c>
      <c r="D779" s="3">
        <f t="shared" si="50"/>
        <v>1552</v>
      </c>
      <c r="E779" s="3" t="str">
        <f t="shared" si="48"/>
        <v>dump:3312103173&amp;1113103173</v>
      </c>
      <c r="F779" s="3" t="str">
        <f t="shared" si="51"/>
        <v>哑资源设备_776</v>
      </c>
      <c r="G779" s="10" t="s">
        <v>406</v>
      </c>
      <c r="H779" s="3" t="str">
        <f>"检测机架"&amp;INDEX([1]机架!$D:$D,C779+3)&amp;IF(D779&lt;&gt;"","和"&amp;INDEX([1]机架!$D:$D,D779+3),"")&amp;"的数据"</f>
        <v>检测机架莒南十泉路の机架-9和莒南滨海路の机架-1的数据</v>
      </c>
      <c r="I779" s="3">
        <f>INDEX([1]机架!$C:$C,C779+3)</f>
        <v>3713012133</v>
      </c>
      <c r="J779" s="3">
        <f>IF(D779&lt;&gt;"",INDEX([1]机架!$C:$C,D779+3),0)</f>
        <v>3713013111</v>
      </c>
    </row>
    <row r="780" spans="1:10" ht="16.5" x14ac:dyDescent="0.2">
      <c r="A780" s="3" t="s">
        <v>393</v>
      </c>
      <c r="B780" s="3">
        <v>777</v>
      </c>
      <c r="C780" s="3">
        <f t="shared" si="49"/>
        <v>1553</v>
      </c>
      <c r="D780" s="3">
        <f t="shared" si="50"/>
        <v>1554</v>
      </c>
      <c r="E780" s="3" t="str">
        <f t="shared" si="48"/>
        <v>dump:2113103173&amp;3113103173</v>
      </c>
      <c r="F780" s="3" t="str">
        <f t="shared" si="51"/>
        <v>哑资源设备_777</v>
      </c>
      <c r="G780" s="10" t="s">
        <v>406</v>
      </c>
      <c r="H780" s="3" t="str">
        <f>"检测机架"&amp;INDEX([1]机架!$D:$D,C780+3)&amp;IF(D780&lt;&gt;"","和"&amp;INDEX([1]机架!$D:$D,D780+3),"")&amp;"的数据"</f>
        <v>检测机架莒南滨海路の机架-2和莒南滨海路の机架-3的数据</v>
      </c>
      <c r="I780" s="3">
        <f>INDEX([1]机架!$C:$C,C780+3)</f>
        <v>3713013112</v>
      </c>
      <c r="J780" s="3">
        <f>IF(D780&lt;&gt;"",INDEX([1]机架!$C:$C,D780+3),0)</f>
        <v>3713013113</v>
      </c>
    </row>
    <row r="781" spans="1:10" ht="16.5" x14ac:dyDescent="0.2">
      <c r="A781" s="3" t="s">
        <v>393</v>
      </c>
      <c r="B781" s="3">
        <v>778</v>
      </c>
      <c r="C781" s="3">
        <f t="shared" si="49"/>
        <v>1555</v>
      </c>
      <c r="D781" s="3">
        <f t="shared" si="50"/>
        <v>1556</v>
      </c>
      <c r="E781" s="3" t="str">
        <f t="shared" si="48"/>
        <v>dump:1213103173&amp;2213103173</v>
      </c>
      <c r="F781" s="3" t="str">
        <f t="shared" si="51"/>
        <v>哑资源设备_778</v>
      </c>
      <c r="G781" s="10" t="s">
        <v>406</v>
      </c>
      <c r="H781" s="3" t="str">
        <f>"检测机架"&amp;INDEX([1]机架!$D:$D,C781+3)&amp;IF(D781&lt;&gt;"","和"&amp;INDEX([1]机架!$D:$D,D781+3),"")&amp;"的数据"</f>
        <v>检测机架莒南滨海路の机架-4和莒南滨海路の机架-5的数据</v>
      </c>
      <c r="I781" s="3">
        <f>INDEX([1]机架!$C:$C,C781+3)</f>
        <v>3713013121</v>
      </c>
      <c r="J781" s="3">
        <f>IF(D781&lt;&gt;"",INDEX([1]机架!$C:$C,D781+3),0)</f>
        <v>3713013122</v>
      </c>
    </row>
    <row r="782" spans="1:10" ht="16.5" x14ac:dyDescent="0.2">
      <c r="A782" s="3" t="s">
        <v>393</v>
      </c>
      <c r="B782" s="3">
        <v>779</v>
      </c>
      <c r="C782" s="3">
        <f t="shared" si="49"/>
        <v>1557</v>
      </c>
      <c r="D782" s="3">
        <f t="shared" si="50"/>
        <v>1558</v>
      </c>
      <c r="E782" s="3" t="str">
        <f t="shared" si="48"/>
        <v>dump:3213103173&amp;1313103173</v>
      </c>
      <c r="F782" s="3" t="str">
        <f t="shared" si="51"/>
        <v>哑资源设备_779</v>
      </c>
      <c r="G782" s="10" t="s">
        <v>406</v>
      </c>
      <c r="H782" s="3" t="str">
        <f>"检测机架"&amp;INDEX([1]机架!$D:$D,C782+3)&amp;IF(D782&lt;&gt;"","和"&amp;INDEX([1]机架!$D:$D,D782+3),"")&amp;"的数据"</f>
        <v>检测机架莒南滨海路の机架-6和莒南滨海路の机架-7的数据</v>
      </c>
      <c r="I782" s="3">
        <f>INDEX([1]机架!$C:$C,C782+3)</f>
        <v>3713013123</v>
      </c>
      <c r="J782" s="3">
        <f>IF(D782&lt;&gt;"",INDEX([1]机架!$C:$C,D782+3),0)</f>
        <v>3713013131</v>
      </c>
    </row>
    <row r="783" spans="1:10" ht="16.5" x14ac:dyDescent="0.2">
      <c r="A783" s="3" t="s">
        <v>393</v>
      </c>
      <c r="B783" s="3">
        <v>780</v>
      </c>
      <c r="C783" s="3">
        <f t="shared" si="49"/>
        <v>1559</v>
      </c>
      <c r="D783" s="3">
        <f t="shared" si="50"/>
        <v>1560</v>
      </c>
      <c r="E783" s="3" t="str">
        <f t="shared" si="48"/>
        <v>dump:2313103173&amp;3313103173</v>
      </c>
      <c r="F783" s="3" t="str">
        <f t="shared" si="51"/>
        <v>哑资源设备_780</v>
      </c>
      <c r="G783" s="10" t="s">
        <v>406</v>
      </c>
      <c r="H783" s="3" t="str">
        <f>"检测机架"&amp;INDEX([1]机架!$D:$D,C783+3)&amp;IF(D783&lt;&gt;"","和"&amp;INDEX([1]机架!$D:$D,D783+3),"")&amp;"的数据"</f>
        <v>检测机架莒南滨海路の机架-8和莒南滨海路の机架-9的数据</v>
      </c>
      <c r="I783" s="3">
        <f>INDEX([1]机架!$C:$C,C783+3)</f>
        <v>3713013132</v>
      </c>
      <c r="J783" s="3">
        <f>IF(D783&lt;&gt;"",INDEX([1]机架!$C:$C,D783+3),0)</f>
        <v>3713013133</v>
      </c>
    </row>
    <row r="784" spans="1:10" ht="16.5" x14ac:dyDescent="0.2">
      <c r="A784" s="3" t="s">
        <v>393</v>
      </c>
      <c r="B784" s="3">
        <v>781</v>
      </c>
      <c r="C784" s="3">
        <f t="shared" si="49"/>
        <v>1561</v>
      </c>
      <c r="D784" s="3">
        <f t="shared" si="50"/>
        <v>1562</v>
      </c>
      <c r="E784" s="3" t="str">
        <f t="shared" si="48"/>
        <v>dump:1114103173&amp;2114103173</v>
      </c>
      <c r="F784" s="3" t="str">
        <f t="shared" si="51"/>
        <v>哑资源设备_781</v>
      </c>
      <c r="G784" s="10" t="s">
        <v>406</v>
      </c>
      <c r="H784" s="3" t="str">
        <f>"检测机架"&amp;INDEX([1]机架!$D:$D,C784+3)&amp;IF(D784&lt;&gt;"","和"&amp;INDEX([1]机架!$D:$D,D784+3),"")&amp;"的数据"</f>
        <v>检测机架蒙阴新城路の机架-1和蒙阴新城路の机架-2的数据</v>
      </c>
      <c r="I784" s="3">
        <f>INDEX([1]机架!$C:$C,C784+3)</f>
        <v>3713014111</v>
      </c>
      <c r="J784" s="3">
        <f>IF(D784&lt;&gt;"",INDEX([1]机架!$C:$C,D784+3),0)</f>
        <v>3713014112</v>
      </c>
    </row>
    <row r="785" spans="1:10" ht="16.5" x14ac:dyDescent="0.2">
      <c r="A785" s="3" t="s">
        <v>393</v>
      </c>
      <c r="B785" s="3">
        <v>782</v>
      </c>
      <c r="C785" s="3">
        <f t="shared" si="49"/>
        <v>1563</v>
      </c>
      <c r="D785" s="3">
        <f t="shared" si="50"/>
        <v>1564</v>
      </c>
      <c r="E785" s="3" t="str">
        <f t="shared" si="48"/>
        <v>dump:3114103173&amp;1214103173</v>
      </c>
      <c r="F785" s="3" t="str">
        <f t="shared" si="51"/>
        <v>哑资源设备_782</v>
      </c>
      <c r="G785" s="10" t="s">
        <v>406</v>
      </c>
      <c r="H785" s="3" t="str">
        <f>"检测机架"&amp;INDEX([1]机架!$D:$D,C785+3)&amp;IF(D785&lt;&gt;"","和"&amp;INDEX([1]机架!$D:$D,D785+3),"")&amp;"的数据"</f>
        <v>检测机架蒙阴新城路の机架-3和蒙阴新城路の机架-4的数据</v>
      </c>
      <c r="I785" s="3">
        <f>INDEX([1]机架!$C:$C,C785+3)</f>
        <v>3713014113</v>
      </c>
      <c r="J785" s="3">
        <f>IF(D785&lt;&gt;"",INDEX([1]机架!$C:$C,D785+3),0)</f>
        <v>3713014121</v>
      </c>
    </row>
    <row r="786" spans="1:10" ht="16.5" x14ac:dyDescent="0.2">
      <c r="A786" s="3" t="s">
        <v>393</v>
      </c>
      <c r="B786" s="3">
        <v>783</v>
      </c>
      <c r="C786" s="3">
        <f t="shared" si="49"/>
        <v>1565</v>
      </c>
      <c r="D786" s="3">
        <f t="shared" si="50"/>
        <v>1566</v>
      </c>
      <c r="E786" s="3" t="str">
        <f t="shared" si="48"/>
        <v>dump:2214103173&amp;3214103173</v>
      </c>
      <c r="F786" s="3" t="str">
        <f t="shared" si="51"/>
        <v>哑资源设备_783</v>
      </c>
      <c r="G786" s="10" t="s">
        <v>406</v>
      </c>
      <c r="H786" s="3" t="str">
        <f>"检测机架"&amp;INDEX([1]机架!$D:$D,C786+3)&amp;IF(D786&lt;&gt;"","和"&amp;INDEX([1]机架!$D:$D,D786+3),"")&amp;"的数据"</f>
        <v>检测机架蒙阴新城路の机架-5和蒙阴新城路の机架-6的数据</v>
      </c>
      <c r="I786" s="3">
        <f>INDEX([1]机架!$C:$C,C786+3)</f>
        <v>3713014122</v>
      </c>
      <c r="J786" s="3">
        <f>IF(D786&lt;&gt;"",INDEX([1]机架!$C:$C,D786+3),0)</f>
        <v>3713014123</v>
      </c>
    </row>
    <row r="787" spans="1:10" ht="16.5" x14ac:dyDescent="0.2">
      <c r="A787" s="3" t="s">
        <v>393</v>
      </c>
      <c r="B787" s="3">
        <v>784</v>
      </c>
      <c r="C787" s="3">
        <f t="shared" si="49"/>
        <v>1567</v>
      </c>
      <c r="D787" s="3">
        <f t="shared" si="50"/>
        <v>1568</v>
      </c>
      <c r="E787" s="3" t="str">
        <f t="shared" si="48"/>
        <v>dump:1314103173&amp;2314103173</v>
      </c>
      <c r="F787" s="3" t="str">
        <f t="shared" si="51"/>
        <v>哑资源设备_784</v>
      </c>
      <c r="G787" s="10" t="s">
        <v>406</v>
      </c>
      <c r="H787" s="3" t="str">
        <f>"检测机架"&amp;INDEX([1]机架!$D:$D,C787+3)&amp;IF(D787&lt;&gt;"","和"&amp;INDEX([1]机架!$D:$D,D787+3),"")&amp;"的数据"</f>
        <v>检测机架蒙阴新城路の机架-7和蒙阴新城路の机架-8的数据</v>
      </c>
      <c r="I787" s="3">
        <f>INDEX([1]机架!$C:$C,C787+3)</f>
        <v>3713014131</v>
      </c>
      <c r="J787" s="3">
        <f>IF(D787&lt;&gt;"",INDEX([1]机架!$C:$C,D787+3),0)</f>
        <v>3713014132</v>
      </c>
    </row>
    <row r="788" spans="1:10" ht="16.5" x14ac:dyDescent="0.2">
      <c r="A788" s="3" t="s">
        <v>393</v>
      </c>
      <c r="B788" s="3">
        <v>785</v>
      </c>
      <c r="C788" s="3">
        <f t="shared" si="49"/>
        <v>1569</v>
      </c>
      <c r="D788" s="3">
        <f t="shared" si="50"/>
        <v>1570</v>
      </c>
      <c r="E788" s="3" t="str">
        <f t="shared" si="48"/>
        <v>dump:3314103173&amp;1111007173</v>
      </c>
      <c r="F788" s="3" t="str">
        <f t="shared" si="51"/>
        <v>哑资源设备_785</v>
      </c>
      <c r="G788" s="10" t="s">
        <v>406</v>
      </c>
      <c r="H788" s="3" t="str">
        <f>"检测机架"&amp;INDEX([1]机架!$D:$D,C788+3)&amp;IF(D788&lt;&gt;"","和"&amp;INDEX([1]机架!$D:$D,D788+3),"")&amp;"的数据"</f>
        <v>检测机架蒙阴新城路の机架-9和菏泽中华路老局の机架-1的数据</v>
      </c>
      <c r="I788" s="3">
        <f>INDEX([1]机架!$C:$C,C788+3)</f>
        <v>3713014133</v>
      </c>
      <c r="J788" s="3">
        <f>IF(D788&lt;&gt;"",INDEX([1]机架!$C:$C,D788+3),0)</f>
        <v>3717001111</v>
      </c>
    </row>
    <row r="789" spans="1:10" ht="16.5" x14ac:dyDescent="0.2">
      <c r="A789" s="3" t="s">
        <v>393</v>
      </c>
      <c r="B789" s="3">
        <v>786</v>
      </c>
      <c r="C789" s="3">
        <f t="shared" si="49"/>
        <v>1571</v>
      </c>
      <c r="D789" s="3">
        <f t="shared" si="50"/>
        <v>1572</v>
      </c>
      <c r="E789" s="3" t="str">
        <f t="shared" si="48"/>
        <v>dump:2111007173&amp;3111007173</v>
      </c>
      <c r="F789" s="3" t="str">
        <f t="shared" si="51"/>
        <v>哑资源设备_786</v>
      </c>
      <c r="G789" s="10" t="s">
        <v>406</v>
      </c>
      <c r="H789" s="3" t="str">
        <f>"检测机架"&amp;INDEX([1]机架!$D:$D,C789+3)&amp;IF(D789&lt;&gt;"","和"&amp;INDEX([1]机架!$D:$D,D789+3),"")&amp;"的数据"</f>
        <v>检测机架菏泽中华路老局の机架-2和菏泽中华路老局の机架-3的数据</v>
      </c>
      <c r="I789" s="3">
        <f>INDEX([1]机架!$C:$C,C789+3)</f>
        <v>3717001112</v>
      </c>
      <c r="J789" s="3">
        <f>IF(D789&lt;&gt;"",INDEX([1]机架!$C:$C,D789+3),0)</f>
        <v>3717001113</v>
      </c>
    </row>
    <row r="790" spans="1:10" ht="16.5" x14ac:dyDescent="0.2">
      <c r="A790" s="3" t="s">
        <v>393</v>
      </c>
      <c r="B790" s="3">
        <v>787</v>
      </c>
      <c r="C790" s="3">
        <f t="shared" si="49"/>
        <v>1573</v>
      </c>
      <c r="D790" s="3">
        <f t="shared" si="50"/>
        <v>1574</v>
      </c>
      <c r="E790" s="3" t="str">
        <f t="shared" si="48"/>
        <v>dump:1211007173&amp;2211007173</v>
      </c>
      <c r="F790" s="3" t="str">
        <f t="shared" si="51"/>
        <v>哑资源设备_787</v>
      </c>
      <c r="G790" s="10" t="s">
        <v>406</v>
      </c>
      <c r="H790" s="3" t="str">
        <f>"检测机架"&amp;INDEX([1]机架!$D:$D,C790+3)&amp;IF(D790&lt;&gt;"","和"&amp;INDEX([1]机架!$D:$D,D790+3),"")&amp;"的数据"</f>
        <v>检测机架菏泽中华路老局の机架-4和菏泽中华路老局の机架-5的数据</v>
      </c>
      <c r="I790" s="3">
        <f>INDEX([1]机架!$C:$C,C790+3)</f>
        <v>3717001121</v>
      </c>
      <c r="J790" s="3">
        <f>IF(D790&lt;&gt;"",INDEX([1]机架!$C:$C,D790+3),0)</f>
        <v>3717001122</v>
      </c>
    </row>
    <row r="791" spans="1:10" ht="16.5" x14ac:dyDescent="0.2">
      <c r="A791" s="3" t="s">
        <v>393</v>
      </c>
      <c r="B791" s="3">
        <v>788</v>
      </c>
      <c r="C791" s="3">
        <f t="shared" si="49"/>
        <v>1575</v>
      </c>
      <c r="D791" s="3">
        <f t="shared" si="50"/>
        <v>1576</v>
      </c>
      <c r="E791" s="3" t="str">
        <f t="shared" si="48"/>
        <v>dump:3211007173&amp;1311007173</v>
      </c>
      <c r="F791" s="3" t="str">
        <f t="shared" si="51"/>
        <v>哑资源设备_788</v>
      </c>
      <c r="G791" s="10" t="s">
        <v>406</v>
      </c>
      <c r="H791" s="3" t="str">
        <f>"检测机架"&amp;INDEX([1]机架!$D:$D,C791+3)&amp;IF(D791&lt;&gt;"","和"&amp;INDEX([1]机架!$D:$D,D791+3),"")&amp;"的数据"</f>
        <v>检测机架菏泽中华路老局の机架-6和菏泽中华路老局の机架-7的数据</v>
      </c>
      <c r="I791" s="3">
        <f>INDEX([1]机架!$C:$C,C791+3)</f>
        <v>3717001123</v>
      </c>
      <c r="J791" s="3">
        <f>IF(D791&lt;&gt;"",INDEX([1]机架!$C:$C,D791+3),0)</f>
        <v>3717001131</v>
      </c>
    </row>
    <row r="792" spans="1:10" ht="16.5" x14ac:dyDescent="0.2">
      <c r="A792" s="3" t="s">
        <v>393</v>
      </c>
      <c r="B792" s="3">
        <v>789</v>
      </c>
      <c r="C792" s="3">
        <f t="shared" si="49"/>
        <v>1577</v>
      </c>
      <c r="D792" s="3">
        <f t="shared" si="50"/>
        <v>1578</v>
      </c>
      <c r="E792" s="3" t="str">
        <f t="shared" si="48"/>
        <v>dump:2311007173&amp;3311007173</v>
      </c>
      <c r="F792" s="3" t="str">
        <f t="shared" si="51"/>
        <v>哑资源设备_789</v>
      </c>
      <c r="G792" s="10" t="s">
        <v>406</v>
      </c>
      <c r="H792" s="3" t="str">
        <f>"检测机架"&amp;INDEX([1]机架!$D:$D,C792+3)&amp;IF(D792&lt;&gt;"","和"&amp;INDEX([1]机架!$D:$D,D792+3),"")&amp;"的数据"</f>
        <v>检测机架菏泽中华路老局の机架-8和菏泽中华路老局の机架-9的数据</v>
      </c>
      <c r="I792" s="3">
        <f>INDEX([1]机架!$C:$C,C792+3)</f>
        <v>3717001132</v>
      </c>
      <c r="J792" s="3">
        <f>IF(D792&lt;&gt;"",INDEX([1]机架!$C:$C,D792+3),0)</f>
        <v>3717001133</v>
      </c>
    </row>
    <row r="793" spans="1:10" ht="16.5" x14ac:dyDescent="0.2">
      <c r="A793" s="3" t="s">
        <v>393</v>
      </c>
      <c r="B793" s="3">
        <v>790</v>
      </c>
      <c r="C793" s="3">
        <f t="shared" si="49"/>
        <v>1579</v>
      </c>
      <c r="D793" s="3">
        <f t="shared" si="50"/>
        <v>1580</v>
      </c>
      <c r="E793" s="3" t="str">
        <f t="shared" si="48"/>
        <v>dump:1121007173&amp;2121007173</v>
      </c>
      <c r="F793" s="3" t="str">
        <f t="shared" si="51"/>
        <v>哑资源设备_790</v>
      </c>
      <c r="G793" s="10" t="s">
        <v>406</v>
      </c>
      <c r="H793" s="3" t="str">
        <f>"检测机架"&amp;INDEX([1]机架!$D:$D,C793+3)&amp;IF(D793&lt;&gt;"","和"&amp;INDEX([1]机架!$D:$D,D793+3),"")&amp;"的数据"</f>
        <v>检测机架菏泽中华路老局の机架-10和菏泽中华路老局の机架-11的数据</v>
      </c>
      <c r="I793" s="3">
        <f>INDEX([1]机架!$C:$C,C793+3)</f>
        <v>3717001211</v>
      </c>
      <c r="J793" s="3">
        <f>IF(D793&lt;&gt;"",INDEX([1]机架!$C:$C,D793+3),0)</f>
        <v>3717001212</v>
      </c>
    </row>
    <row r="794" spans="1:10" ht="16.5" x14ac:dyDescent="0.2">
      <c r="A794" s="3" t="s">
        <v>393</v>
      </c>
      <c r="B794" s="3">
        <v>791</v>
      </c>
      <c r="C794" s="3">
        <f t="shared" si="49"/>
        <v>1581</v>
      </c>
      <c r="D794" s="3">
        <f t="shared" si="50"/>
        <v>1582</v>
      </c>
      <c r="E794" s="3" t="str">
        <f t="shared" si="48"/>
        <v>dump:3121007173&amp;1221007173</v>
      </c>
      <c r="F794" s="3" t="str">
        <f t="shared" si="51"/>
        <v>哑资源设备_791</v>
      </c>
      <c r="G794" s="10" t="s">
        <v>406</v>
      </c>
      <c r="H794" s="3" t="str">
        <f>"检测机架"&amp;INDEX([1]机架!$D:$D,C794+3)&amp;IF(D794&lt;&gt;"","和"&amp;INDEX([1]机架!$D:$D,D794+3),"")&amp;"的数据"</f>
        <v>检测机架菏泽中华路老局の机架-12和菏泽中华路老局の机架-13的数据</v>
      </c>
      <c r="I794" s="3">
        <f>INDEX([1]机架!$C:$C,C794+3)</f>
        <v>3717001213</v>
      </c>
      <c r="J794" s="3">
        <f>IF(D794&lt;&gt;"",INDEX([1]机架!$C:$C,D794+3),0)</f>
        <v>3717001221</v>
      </c>
    </row>
    <row r="795" spans="1:10" ht="16.5" x14ac:dyDescent="0.2">
      <c r="A795" s="3" t="s">
        <v>393</v>
      </c>
      <c r="B795" s="3">
        <v>792</v>
      </c>
      <c r="C795" s="3">
        <f t="shared" si="49"/>
        <v>1583</v>
      </c>
      <c r="D795" s="3">
        <f t="shared" si="50"/>
        <v>1584</v>
      </c>
      <c r="E795" s="3" t="str">
        <f t="shared" si="48"/>
        <v>dump:2221007173&amp;3221007173</v>
      </c>
      <c r="F795" s="3" t="str">
        <f t="shared" si="51"/>
        <v>哑资源设备_792</v>
      </c>
      <c r="G795" s="10" t="s">
        <v>406</v>
      </c>
      <c r="H795" s="3" t="str">
        <f>"检测机架"&amp;INDEX([1]机架!$D:$D,C795+3)&amp;IF(D795&lt;&gt;"","和"&amp;INDEX([1]机架!$D:$D,D795+3),"")&amp;"的数据"</f>
        <v>检测机架菏泽中华路老局の机架-14和菏泽中华路老局の机架-15的数据</v>
      </c>
      <c r="I795" s="3">
        <f>INDEX([1]机架!$C:$C,C795+3)</f>
        <v>3717001222</v>
      </c>
      <c r="J795" s="3">
        <f>IF(D795&lt;&gt;"",INDEX([1]机架!$C:$C,D795+3),0)</f>
        <v>3717001223</v>
      </c>
    </row>
    <row r="796" spans="1:10" ht="16.5" x14ac:dyDescent="0.2">
      <c r="A796" s="3" t="s">
        <v>393</v>
      </c>
      <c r="B796" s="3">
        <v>793</v>
      </c>
      <c r="C796" s="3">
        <f t="shared" si="49"/>
        <v>1585</v>
      </c>
      <c r="D796" s="3">
        <f t="shared" si="50"/>
        <v>1586</v>
      </c>
      <c r="E796" s="3" t="str">
        <f t="shared" si="48"/>
        <v>dump:1321007173&amp;2321007173</v>
      </c>
      <c r="F796" s="3" t="str">
        <f t="shared" si="51"/>
        <v>哑资源设备_793</v>
      </c>
      <c r="G796" s="10" t="s">
        <v>406</v>
      </c>
      <c r="H796" s="3" t="str">
        <f>"检测机架"&amp;INDEX([1]机架!$D:$D,C796+3)&amp;IF(D796&lt;&gt;"","和"&amp;INDEX([1]机架!$D:$D,D796+3),"")&amp;"的数据"</f>
        <v>检测机架菏泽中华路老局の机架-16和菏泽中华路老局の机架-17的数据</v>
      </c>
      <c r="I796" s="3">
        <f>INDEX([1]机架!$C:$C,C796+3)</f>
        <v>3717001231</v>
      </c>
      <c r="J796" s="3">
        <f>IF(D796&lt;&gt;"",INDEX([1]机架!$C:$C,D796+3),0)</f>
        <v>3717001232</v>
      </c>
    </row>
    <row r="797" spans="1:10" ht="16.5" x14ac:dyDescent="0.2">
      <c r="A797" s="3" t="s">
        <v>393</v>
      </c>
      <c r="B797" s="3">
        <v>794</v>
      </c>
      <c r="C797" s="3">
        <f t="shared" si="49"/>
        <v>1587</v>
      </c>
      <c r="D797" s="3">
        <f t="shared" si="50"/>
        <v>1588</v>
      </c>
      <c r="E797" s="3" t="str">
        <f t="shared" si="48"/>
        <v>dump:3321007173&amp;1112007173</v>
      </c>
      <c r="F797" s="3" t="str">
        <f t="shared" si="51"/>
        <v>哑资源设备_794</v>
      </c>
      <c r="G797" s="10" t="s">
        <v>406</v>
      </c>
      <c r="H797" s="3" t="str">
        <f>"检测机架"&amp;INDEX([1]机架!$D:$D,C797+3)&amp;IF(D797&lt;&gt;"","和"&amp;INDEX([1]机架!$D:$D,D797+3),"")&amp;"的数据"</f>
        <v>检测机架菏泽中华路老局の机架-18和菏泽中华东路の机架-1的数据</v>
      </c>
      <c r="I797" s="3">
        <f>INDEX([1]机架!$C:$C,C797+3)</f>
        <v>3717001233</v>
      </c>
      <c r="J797" s="3">
        <f>IF(D797&lt;&gt;"",INDEX([1]机架!$C:$C,D797+3),0)</f>
        <v>3717002111</v>
      </c>
    </row>
    <row r="798" spans="1:10" ht="16.5" x14ac:dyDescent="0.2">
      <c r="A798" s="3" t="s">
        <v>393</v>
      </c>
      <c r="B798" s="3">
        <v>795</v>
      </c>
      <c r="C798" s="3">
        <f t="shared" si="49"/>
        <v>1589</v>
      </c>
      <c r="D798" s="3">
        <f t="shared" si="50"/>
        <v>1590</v>
      </c>
      <c r="E798" s="3" t="str">
        <f t="shared" si="48"/>
        <v>dump:2112007173&amp;3112007173</v>
      </c>
      <c r="F798" s="3" t="str">
        <f t="shared" si="51"/>
        <v>哑资源设备_795</v>
      </c>
      <c r="G798" s="10" t="s">
        <v>406</v>
      </c>
      <c r="H798" s="3" t="str">
        <f>"检测机架"&amp;INDEX([1]机架!$D:$D,C798+3)&amp;IF(D798&lt;&gt;"","和"&amp;INDEX([1]机架!$D:$D,D798+3),"")&amp;"的数据"</f>
        <v>检测机架菏泽中华东路の机架-2和菏泽中华东路の机架-3的数据</v>
      </c>
      <c r="I798" s="3">
        <f>INDEX([1]机架!$C:$C,C798+3)</f>
        <v>3717002112</v>
      </c>
      <c r="J798" s="3">
        <f>IF(D798&lt;&gt;"",INDEX([1]机架!$C:$C,D798+3),0)</f>
        <v>3717002113</v>
      </c>
    </row>
    <row r="799" spans="1:10" ht="16.5" x14ac:dyDescent="0.2">
      <c r="A799" s="3" t="s">
        <v>393</v>
      </c>
      <c r="B799" s="3">
        <v>796</v>
      </c>
      <c r="C799" s="3">
        <f t="shared" si="49"/>
        <v>1591</v>
      </c>
      <c r="D799" s="3">
        <f t="shared" si="50"/>
        <v>1592</v>
      </c>
      <c r="E799" s="3" t="str">
        <f t="shared" si="48"/>
        <v>dump:1212007173&amp;2212007173</v>
      </c>
      <c r="F799" s="3" t="str">
        <f t="shared" si="51"/>
        <v>哑资源设备_796</v>
      </c>
      <c r="G799" s="10" t="s">
        <v>406</v>
      </c>
      <c r="H799" s="3" t="str">
        <f>"检测机架"&amp;INDEX([1]机架!$D:$D,C799+3)&amp;IF(D799&lt;&gt;"","和"&amp;INDEX([1]机架!$D:$D,D799+3),"")&amp;"的数据"</f>
        <v>检测机架菏泽中华东路の机架-4和菏泽中华东路の机架-5的数据</v>
      </c>
      <c r="I799" s="3">
        <f>INDEX([1]机架!$C:$C,C799+3)</f>
        <v>3717002121</v>
      </c>
      <c r="J799" s="3">
        <f>IF(D799&lt;&gt;"",INDEX([1]机架!$C:$C,D799+3),0)</f>
        <v>3717002122</v>
      </c>
    </row>
    <row r="800" spans="1:10" ht="16.5" x14ac:dyDescent="0.2">
      <c r="A800" s="3" t="s">
        <v>393</v>
      </c>
      <c r="B800" s="3">
        <v>797</v>
      </c>
      <c r="C800" s="3">
        <f t="shared" si="49"/>
        <v>1593</v>
      </c>
      <c r="D800" s="3">
        <f t="shared" si="50"/>
        <v>1594</v>
      </c>
      <c r="E800" s="3" t="str">
        <f t="shared" si="48"/>
        <v>dump:3212007173&amp;1312007173</v>
      </c>
      <c r="F800" s="3" t="str">
        <f t="shared" si="51"/>
        <v>哑资源设备_797</v>
      </c>
      <c r="G800" s="10" t="s">
        <v>406</v>
      </c>
      <c r="H800" s="3" t="str">
        <f>"检测机架"&amp;INDEX([1]机架!$D:$D,C800+3)&amp;IF(D800&lt;&gt;"","和"&amp;INDEX([1]机架!$D:$D,D800+3),"")&amp;"的数据"</f>
        <v>检测机架菏泽中华东路の机架-6和菏泽中华东路の机架-7的数据</v>
      </c>
      <c r="I800" s="3">
        <f>INDEX([1]机架!$C:$C,C800+3)</f>
        <v>3717002123</v>
      </c>
      <c r="J800" s="3">
        <f>IF(D800&lt;&gt;"",INDEX([1]机架!$C:$C,D800+3),0)</f>
        <v>3717002131</v>
      </c>
    </row>
    <row r="801" spans="1:10" ht="16.5" x14ac:dyDescent="0.2">
      <c r="A801" s="3" t="s">
        <v>393</v>
      </c>
      <c r="B801" s="3">
        <v>798</v>
      </c>
      <c r="C801" s="3">
        <f t="shared" si="49"/>
        <v>1595</v>
      </c>
      <c r="D801" s="3">
        <f t="shared" si="50"/>
        <v>1596</v>
      </c>
      <c r="E801" s="3" t="str">
        <f t="shared" si="48"/>
        <v>dump:2312007173&amp;3312007173</v>
      </c>
      <c r="F801" s="3" t="str">
        <f t="shared" si="51"/>
        <v>哑资源设备_798</v>
      </c>
      <c r="G801" s="10" t="s">
        <v>406</v>
      </c>
      <c r="H801" s="3" t="str">
        <f>"检测机架"&amp;INDEX([1]机架!$D:$D,C801+3)&amp;IF(D801&lt;&gt;"","和"&amp;INDEX([1]机架!$D:$D,D801+3),"")&amp;"的数据"</f>
        <v>检测机架菏泽中华东路の机架-8和菏泽中华东路の机架-9的数据</v>
      </c>
      <c r="I801" s="3">
        <f>INDEX([1]机架!$C:$C,C801+3)</f>
        <v>3717002132</v>
      </c>
      <c r="J801" s="3">
        <f>IF(D801&lt;&gt;"",INDEX([1]机架!$C:$C,D801+3),0)</f>
        <v>3717002133</v>
      </c>
    </row>
    <row r="802" spans="1:10" ht="16.5" x14ac:dyDescent="0.2">
      <c r="A802" s="3" t="s">
        <v>393</v>
      </c>
      <c r="B802" s="3">
        <v>799</v>
      </c>
      <c r="C802" s="3">
        <f t="shared" si="49"/>
        <v>1597</v>
      </c>
      <c r="D802" s="3">
        <f t="shared" si="50"/>
        <v>1598</v>
      </c>
      <c r="E802" s="3" t="str">
        <f t="shared" si="48"/>
        <v>dump:1113007173&amp;2113007173</v>
      </c>
      <c r="F802" s="3" t="str">
        <f t="shared" si="51"/>
        <v>哑资源设备_799</v>
      </c>
      <c r="G802" s="10" t="s">
        <v>406</v>
      </c>
      <c r="H802" s="3" t="str">
        <f>"检测机架"&amp;INDEX([1]机架!$D:$D,C802+3)&amp;IF(D802&lt;&gt;"","和"&amp;INDEX([1]机架!$D:$D,D802+3),"")&amp;"的数据"</f>
        <v>检测机架菏泽中华路新局の机架-1和菏泽中华路新局の机架-2的数据</v>
      </c>
      <c r="I802" s="3">
        <f>INDEX([1]机架!$C:$C,C802+3)</f>
        <v>3717003111</v>
      </c>
      <c r="J802" s="3">
        <f>IF(D802&lt;&gt;"",INDEX([1]机架!$C:$C,D802+3),0)</f>
        <v>3717003112</v>
      </c>
    </row>
    <row r="803" spans="1:10" ht="16.5" x14ac:dyDescent="0.2">
      <c r="A803" s="3" t="s">
        <v>393</v>
      </c>
      <c r="B803" s="3">
        <v>800</v>
      </c>
      <c r="C803" s="3">
        <f t="shared" si="49"/>
        <v>1599</v>
      </c>
      <c r="D803" s="3">
        <f t="shared" si="50"/>
        <v>1600</v>
      </c>
      <c r="E803" s="3" t="str">
        <f t="shared" si="48"/>
        <v>dump:3113007173&amp;1213007173</v>
      </c>
      <c r="F803" s="3" t="str">
        <f t="shared" si="51"/>
        <v>哑资源设备_800</v>
      </c>
      <c r="G803" s="10" t="s">
        <v>406</v>
      </c>
      <c r="H803" s="3" t="str">
        <f>"检测机架"&amp;INDEX([1]机架!$D:$D,C803+3)&amp;IF(D803&lt;&gt;"","和"&amp;INDEX([1]机架!$D:$D,D803+3),"")&amp;"的数据"</f>
        <v>检测机架菏泽中华路新局の机架-3和菏泽中华路新局の机架-4的数据</v>
      </c>
      <c r="I803" s="3">
        <f>INDEX([1]机架!$C:$C,C803+3)</f>
        <v>3717003113</v>
      </c>
      <c r="J803" s="3">
        <f>IF(D803&lt;&gt;"",INDEX([1]机架!$C:$C,D803+3),0)</f>
        <v>3717003121</v>
      </c>
    </row>
    <row r="804" spans="1:10" ht="16.5" x14ac:dyDescent="0.2">
      <c r="A804" s="3" t="s">
        <v>393</v>
      </c>
      <c r="B804" s="3">
        <v>801</v>
      </c>
      <c r="C804" s="3">
        <f t="shared" si="49"/>
        <v>1601</v>
      </c>
      <c r="D804" s="3">
        <f t="shared" si="50"/>
        <v>1602</v>
      </c>
      <c r="E804" s="3" t="str">
        <f t="shared" si="48"/>
        <v>dump:2213007173&amp;3213007173</v>
      </c>
      <c r="F804" s="3" t="str">
        <f t="shared" si="51"/>
        <v>哑资源设备_801</v>
      </c>
      <c r="G804" s="10" t="s">
        <v>406</v>
      </c>
      <c r="H804" s="3" t="str">
        <f>"检测机架"&amp;INDEX([1]机架!$D:$D,C804+3)&amp;IF(D804&lt;&gt;"","和"&amp;INDEX([1]机架!$D:$D,D804+3),"")&amp;"的数据"</f>
        <v>检测机架菏泽中华路新局の机架-5和菏泽中华路新局の机架-6的数据</v>
      </c>
      <c r="I804" s="3">
        <f>INDEX([1]机架!$C:$C,C804+3)</f>
        <v>3717003122</v>
      </c>
      <c r="J804" s="3">
        <f>IF(D804&lt;&gt;"",INDEX([1]机架!$C:$C,D804+3),0)</f>
        <v>3717003123</v>
      </c>
    </row>
    <row r="805" spans="1:10" ht="16.5" x14ac:dyDescent="0.2">
      <c r="A805" s="3" t="s">
        <v>393</v>
      </c>
      <c r="B805" s="3">
        <v>802</v>
      </c>
      <c r="C805" s="3">
        <f t="shared" si="49"/>
        <v>1603</v>
      </c>
      <c r="D805" s="3">
        <f t="shared" si="50"/>
        <v>1604</v>
      </c>
      <c r="E805" s="3" t="str">
        <f t="shared" si="48"/>
        <v>dump:1313007173&amp;2313007173</v>
      </c>
      <c r="F805" s="3" t="str">
        <f t="shared" si="51"/>
        <v>哑资源设备_802</v>
      </c>
      <c r="G805" s="10" t="s">
        <v>406</v>
      </c>
      <c r="H805" s="3" t="str">
        <f>"检测机架"&amp;INDEX([1]机架!$D:$D,C805+3)&amp;IF(D805&lt;&gt;"","和"&amp;INDEX([1]机架!$D:$D,D805+3),"")&amp;"的数据"</f>
        <v>检测机架菏泽中华路新局の机架-7和菏泽中华路新局の机架-8的数据</v>
      </c>
      <c r="I805" s="3">
        <f>INDEX([1]机架!$C:$C,C805+3)</f>
        <v>3717003131</v>
      </c>
      <c r="J805" s="3">
        <f>IF(D805&lt;&gt;"",INDEX([1]机架!$C:$C,D805+3),0)</f>
        <v>3717003132</v>
      </c>
    </row>
    <row r="806" spans="1:10" ht="16.5" x14ac:dyDescent="0.2">
      <c r="A806" s="3" t="s">
        <v>393</v>
      </c>
      <c r="B806" s="3">
        <v>803</v>
      </c>
      <c r="C806" s="3">
        <f t="shared" si="49"/>
        <v>1605</v>
      </c>
      <c r="D806" s="3">
        <f t="shared" si="50"/>
        <v>1606</v>
      </c>
      <c r="E806" s="3" t="str">
        <f t="shared" si="48"/>
        <v>dump:3313007173&amp;1114007173</v>
      </c>
      <c r="F806" s="3" t="str">
        <f t="shared" si="51"/>
        <v>哑资源设备_803</v>
      </c>
      <c r="G806" s="10" t="s">
        <v>406</v>
      </c>
      <c r="H806" s="3" t="str">
        <f>"检测机架"&amp;INDEX([1]机架!$D:$D,C806+3)&amp;IF(D806&lt;&gt;"","和"&amp;INDEX([1]机架!$D:$D,D806+3),"")&amp;"的数据"</f>
        <v>检测机架菏泽中华路新局の机架-9和郓城通信楼の机架-1的数据</v>
      </c>
      <c r="I806" s="3">
        <f>INDEX([1]机架!$C:$C,C806+3)</f>
        <v>3717003133</v>
      </c>
      <c r="J806" s="3">
        <f>IF(D806&lt;&gt;"",INDEX([1]机架!$C:$C,D806+3),0)</f>
        <v>3717004111</v>
      </c>
    </row>
    <row r="807" spans="1:10" ht="16.5" x14ac:dyDescent="0.2">
      <c r="A807" s="3" t="s">
        <v>393</v>
      </c>
      <c r="B807" s="3">
        <v>804</v>
      </c>
      <c r="C807" s="3">
        <f t="shared" si="49"/>
        <v>1607</v>
      </c>
      <c r="D807" s="3">
        <f t="shared" si="50"/>
        <v>1608</v>
      </c>
      <c r="E807" s="3" t="str">
        <f t="shared" si="48"/>
        <v>dump:2114007173&amp;3114007173</v>
      </c>
      <c r="F807" s="3" t="str">
        <f t="shared" si="51"/>
        <v>哑资源设备_804</v>
      </c>
      <c r="G807" s="10" t="s">
        <v>406</v>
      </c>
      <c r="H807" s="3" t="str">
        <f>"检测机架"&amp;INDEX([1]机架!$D:$D,C807+3)&amp;IF(D807&lt;&gt;"","和"&amp;INDEX([1]机架!$D:$D,D807+3),"")&amp;"的数据"</f>
        <v>检测机架郓城通信楼の机架-2和郓城通信楼の机架-3的数据</v>
      </c>
      <c r="I807" s="3">
        <f>INDEX([1]机架!$C:$C,C807+3)</f>
        <v>3717004112</v>
      </c>
      <c r="J807" s="3">
        <f>IF(D807&lt;&gt;"",INDEX([1]机架!$C:$C,D807+3),0)</f>
        <v>3717004113</v>
      </c>
    </row>
    <row r="808" spans="1:10" ht="16.5" x14ac:dyDescent="0.2">
      <c r="A808" s="3" t="s">
        <v>393</v>
      </c>
      <c r="B808" s="3">
        <v>805</v>
      </c>
      <c r="C808" s="3">
        <f t="shared" si="49"/>
        <v>1609</v>
      </c>
      <c r="D808" s="3">
        <f t="shared" si="50"/>
        <v>1610</v>
      </c>
      <c r="E808" s="3" t="str">
        <f t="shared" si="48"/>
        <v>dump:1214007173&amp;2214007173</v>
      </c>
      <c r="F808" s="3" t="str">
        <f t="shared" si="51"/>
        <v>哑资源设备_805</v>
      </c>
      <c r="G808" s="10" t="s">
        <v>406</v>
      </c>
      <c r="H808" s="3" t="str">
        <f>"检测机架"&amp;INDEX([1]机架!$D:$D,C808+3)&amp;IF(D808&lt;&gt;"","和"&amp;INDEX([1]机架!$D:$D,D808+3),"")&amp;"的数据"</f>
        <v>检测机架郓城通信楼の机架-4和郓城通信楼の机架-5的数据</v>
      </c>
      <c r="I808" s="3">
        <f>INDEX([1]机架!$C:$C,C808+3)</f>
        <v>3717004121</v>
      </c>
      <c r="J808" s="3">
        <f>IF(D808&lt;&gt;"",INDEX([1]机架!$C:$C,D808+3),0)</f>
        <v>3717004122</v>
      </c>
    </row>
    <row r="809" spans="1:10" ht="16.5" x14ac:dyDescent="0.2">
      <c r="A809" s="3" t="s">
        <v>393</v>
      </c>
      <c r="B809" s="3">
        <v>806</v>
      </c>
      <c r="C809" s="3">
        <f t="shared" si="49"/>
        <v>1611</v>
      </c>
      <c r="D809" s="3">
        <f t="shared" si="50"/>
        <v>1612</v>
      </c>
      <c r="E809" s="3" t="str">
        <f t="shared" si="48"/>
        <v>dump:3214007173&amp;1314007173</v>
      </c>
      <c r="F809" s="3" t="str">
        <f t="shared" si="51"/>
        <v>哑资源设备_806</v>
      </c>
      <c r="G809" s="10" t="s">
        <v>406</v>
      </c>
      <c r="H809" s="3" t="str">
        <f>"检测机架"&amp;INDEX([1]机架!$D:$D,C809+3)&amp;IF(D809&lt;&gt;"","和"&amp;INDEX([1]机架!$D:$D,D809+3),"")&amp;"的数据"</f>
        <v>检测机架郓城通信楼の机架-6和郓城通信楼の机架-7的数据</v>
      </c>
      <c r="I809" s="3">
        <f>INDEX([1]机架!$C:$C,C809+3)</f>
        <v>3717004123</v>
      </c>
      <c r="J809" s="3">
        <f>IF(D809&lt;&gt;"",INDEX([1]机架!$C:$C,D809+3),0)</f>
        <v>3717004131</v>
      </c>
    </row>
    <row r="810" spans="1:10" ht="16.5" x14ac:dyDescent="0.2">
      <c r="A810" s="3" t="s">
        <v>393</v>
      </c>
      <c r="B810" s="3">
        <v>807</v>
      </c>
      <c r="C810" s="3">
        <f t="shared" si="49"/>
        <v>1613</v>
      </c>
      <c r="D810" s="3">
        <f t="shared" si="50"/>
        <v>1614</v>
      </c>
      <c r="E810" s="3" t="str">
        <f t="shared" si="48"/>
        <v>dump:2314007173&amp;3314007173</v>
      </c>
      <c r="F810" s="3" t="str">
        <f t="shared" si="51"/>
        <v>哑资源设备_807</v>
      </c>
      <c r="G810" s="10" t="s">
        <v>406</v>
      </c>
      <c r="H810" s="3" t="str">
        <f>"检测机架"&amp;INDEX([1]机架!$D:$D,C810+3)&amp;IF(D810&lt;&gt;"","和"&amp;INDEX([1]机架!$D:$D,D810+3),"")&amp;"的数据"</f>
        <v>检测机架郓城通信楼の机架-8和郓城通信楼の机架-9的数据</v>
      </c>
      <c r="I810" s="3">
        <f>INDEX([1]机架!$C:$C,C810+3)</f>
        <v>3717004132</v>
      </c>
      <c r="J810" s="3">
        <f>IF(D810&lt;&gt;"",INDEX([1]机架!$C:$C,D810+3),0)</f>
        <v>3717004133</v>
      </c>
    </row>
    <row r="811" spans="1:10" ht="16.5" x14ac:dyDescent="0.2">
      <c r="A811" s="3" t="s">
        <v>393</v>
      </c>
      <c r="B811" s="3">
        <v>808</v>
      </c>
      <c r="C811" s="3">
        <f t="shared" si="49"/>
        <v>1615</v>
      </c>
      <c r="D811" s="3">
        <f t="shared" si="50"/>
        <v>1616</v>
      </c>
      <c r="E811" s="3" t="str">
        <f t="shared" si="48"/>
        <v>dump:1115007173&amp;2115007173</v>
      </c>
      <c r="F811" s="3" t="str">
        <f t="shared" si="51"/>
        <v>哑资源设备_808</v>
      </c>
      <c r="G811" s="10" t="s">
        <v>406</v>
      </c>
      <c r="H811" s="3" t="str">
        <f>"检测机架"&amp;INDEX([1]机架!$D:$D,C811+3)&amp;IF(D811&lt;&gt;"","和"&amp;INDEX([1]机架!$D:$D,D811+3),"")&amp;"的数据"</f>
        <v>检测机架巨野新华路の机架-1和巨野新华路の机架-2的数据</v>
      </c>
      <c r="I811" s="3">
        <f>INDEX([1]机架!$C:$C,C811+3)</f>
        <v>3717005111</v>
      </c>
      <c r="J811" s="3">
        <f>IF(D811&lt;&gt;"",INDEX([1]机架!$C:$C,D811+3),0)</f>
        <v>3717005112</v>
      </c>
    </row>
    <row r="812" spans="1:10" ht="16.5" x14ac:dyDescent="0.2">
      <c r="A812" s="3" t="s">
        <v>393</v>
      </c>
      <c r="B812" s="3">
        <v>809</v>
      </c>
      <c r="C812" s="3">
        <f t="shared" si="49"/>
        <v>1617</v>
      </c>
      <c r="D812" s="3">
        <f t="shared" si="50"/>
        <v>1618</v>
      </c>
      <c r="E812" s="3" t="str">
        <f t="shared" si="48"/>
        <v>dump:3115007173&amp;1215007173</v>
      </c>
      <c r="F812" s="3" t="str">
        <f t="shared" si="51"/>
        <v>哑资源设备_809</v>
      </c>
      <c r="G812" s="10" t="s">
        <v>406</v>
      </c>
      <c r="H812" s="3" t="str">
        <f>"检测机架"&amp;INDEX([1]机架!$D:$D,C812+3)&amp;IF(D812&lt;&gt;"","和"&amp;INDEX([1]机架!$D:$D,D812+3),"")&amp;"的数据"</f>
        <v>检测机架巨野新华路の机架-3和巨野新华路の机架-4的数据</v>
      </c>
      <c r="I812" s="3">
        <f>INDEX([1]机架!$C:$C,C812+3)</f>
        <v>3717005113</v>
      </c>
      <c r="J812" s="3">
        <f>IF(D812&lt;&gt;"",INDEX([1]机架!$C:$C,D812+3),0)</f>
        <v>3717005121</v>
      </c>
    </row>
    <row r="813" spans="1:10" ht="16.5" x14ac:dyDescent="0.2">
      <c r="A813" s="3" t="s">
        <v>393</v>
      </c>
      <c r="B813" s="3">
        <v>810</v>
      </c>
      <c r="C813" s="3">
        <f t="shared" si="49"/>
        <v>1619</v>
      </c>
      <c r="D813" s="3">
        <f t="shared" si="50"/>
        <v>1620</v>
      </c>
      <c r="E813" s="3" t="str">
        <f t="shared" si="48"/>
        <v>dump:2215007173&amp;3215007173</v>
      </c>
      <c r="F813" s="3" t="str">
        <f t="shared" si="51"/>
        <v>哑资源设备_810</v>
      </c>
      <c r="G813" s="10" t="s">
        <v>406</v>
      </c>
      <c r="H813" s="3" t="str">
        <f>"检测机架"&amp;INDEX([1]机架!$D:$D,C813+3)&amp;IF(D813&lt;&gt;"","和"&amp;INDEX([1]机架!$D:$D,D813+3),"")&amp;"的数据"</f>
        <v>检测机架巨野新华路の机架-5和巨野新华路の机架-6的数据</v>
      </c>
      <c r="I813" s="3">
        <f>INDEX([1]机架!$C:$C,C813+3)</f>
        <v>3717005122</v>
      </c>
      <c r="J813" s="3">
        <f>IF(D813&lt;&gt;"",INDEX([1]机架!$C:$C,D813+3),0)</f>
        <v>3717005123</v>
      </c>
    </row>
    <row r="814" spans="1:10" ht="16.5" x14ac:dyDescent="0.2">
      <c r="A814" s="3" t="s">
        <v>393</v>
      </c>
      <c r="B814" s="3">
        <v>811</v>
      </c>
      <c r="C814" s="3">
        <f t="shared" si="49"/>
        <v>1621</v>
      </c>
      <c r="D814" s="3">
        <f t="shared" si="50"/>
        <v>1622</v>
      </c>
      <c r="E814" s="3" t="str">
        <f t="shared" si="48"/>
        <v>dump:1315007173&amp;2315007173</v>
      </c>
      <c r="F814" s="3" t="str">
        <f t="shared" si="51"/>
        <v>哑资源设备_811</v>
      </c>
      <c r="G814" s="10" t="s">
        <v>406</v>
      </c>
      <c r="H814" s="3" t="str">
        <f>"检测机架"&amp;INDEX([1]机架!$D:$D,C814+3)&amp;IF(D814&lt;&gt;"","和"&amp;INDEX([1]机架!$D:$D,D814+3),"")&amp;"的数据"</f>
        <v>检测机架巨野新华路の机架-7和巨野新华路の机架-8的数据</v>
      </c>
      <c r="I814" s="3">
        <f>INDEX([1]机架!$C:$C,C814+3)</f>
        <v>3717005131</v>
      </c>
      <c r="J814" s="3">
        <f>IF(D814&lt;&gt;"",INDEX([1]机架!$C:$C,D814+3),0)</f>
        <v>3717005132</v>
      </c>
    </row>
    <row r="815" spans="1:10" ht="16.5" x14ac:dyDescent="0.2">
      <c r="A815" s="3" t="s">
        <v>393</v>
      </c>
      <c r="B815" s="3">
        <v>812</v>
      </c>
      <c r="C815" s="3">
        <f t="shared" si="49"/>
        <v>1623</v>
      </c>
      <c r="D815" s="3">
        <f t="shared" si="50"/>
        <v>1624</v>
      </c>
      <c r="E815" s="3" t="str">
        <f t="shared" si="48"/>
        <v>dump:3315007173&amp;1116007173</v>
      </c>
      <c r="F815" s="3" t="str">
        <f t="shared" si="51"/>
        <v>哑资源设备_812</v>
      </c>
      <c r="G815" s="10" t="s">
        <v>406</v>
      </c>
      <c r="H815" s="3" t="str">
        <f>"检测机架"&amp;INDEX([1]机架!$D:$D,C815+3)&amp;IF(D815&lt;&gt;"","和"&amp;INDEX([1]机架!$D:$D,D815+3),"")&amp;"的数据"</f>
        <v>检测机架巨野新华路の机架-9和巨野の机架-1的数据</v>
      </c>
      <c r="I815" s="3">
        <f>INDEX([1]机架!$C:$C,C815+3)</f>
        <v>3717005133</v>
      </c>
      <c r="J815" s="3">
        <f>IF(D815&lt;&gt;"",INDEX([1]机架!$C:$C,D815+3),0)</f>
        <v>3717006111</v>
      </c>
    </row>
    <row r="816" spans="1:10" ht="16.5" x14ac:dyDescent="0.2">
      <c r="A816" s="3" t="s">
        <v>393</v>
      </c>
      <c r="B816" s="3">
        <v>813</v>
      </c>
      <c r="C816" s="3">
        <f t="shared" si="49"/>
        <v>1625</v>
      </c>
      <c r="D816" s="3">
        <f t="shared" si="50"/>
        <v>1626</v>
      </c>
      <c r="E816" s="3" t="str">
        <f t="shared" si="48"/>
        <v>dump:2116007173&amp;3116007173</v>
      </c>
      <c r="F816" s="3" t="str">
        <f t="shared" si="51"/>
        <v>哑资源设备_813</v>
      </c>
      <c r="G816" s="10" t="s">
        <v>406</v>
      </c>
      <c r="H816" s="3" t="str">
        <f>"检测机架"&amp;INDEX([1]机架!$D:$D,C816+3)&amp;IF(D816&lt;&gt;"","和"&amp;INDEX([1]机架!$D:$D,D816+3),"")&amp;"的数据"</f>
        <v>检测机架巨野の机架-2和巨野の机架-3的数据</v>
      </c>
      <c r="I816" s="3">
        <f>INDEX([1]机架!$C:$C,C816+3)</f>
        <v>3717006112</v>
      </c>
      <c r="J816" s="3">
        <f>IF(D816&lt;&gt;"",INDEX([1]机架!$C:$C,D816+3),0)</f>
        <v>3717006113</v>
      </c>
    </row>
    <row r="817" spans="1:10" ht="16.5" x14ac:dyDescent="0.2">
      <c r="A817" s="3" t="s">
        <v>393</v>
      </c>
      <c r="B817" s="3">
        <v>814</v>
      </c>
      <c r="C817" s="3">
        <f t="shared" si="49"/>
        <v>1627</v>
      </c>
      <c r="D817" s="3">
        <f t="shared" si="50"/>
        <v>1628</v>
      </c>
      <c r="E817" s="3" t="str">
        <f t="shared" si="48"/>
        <v>dump:1216007173&amp;2216007173</v>
      </c>
      <c r="F817" s="3" t="str">
        <f t="shared" si="51"/>
        <v>哑资源设备_814</v>
      </c>
      <c r="G817" s="10" t="s">
        <v>406</v>
      </c>
      <c r="H817" s="3" t="str">
        <f>"检测机架"&amp;INDEX([1]机架!$D:$D,C817+3)&amp;IF(D817&lt;&gt;"","和"&amp;INDEX([1]机架!$D:$D,D817+3),"")&amp;"的数据"</f>
        <v>检测机架巨野の机架-4和巨野の机架-5的数据</v>
      </c>
      <c r="I817" s="3">
        <f>INDEX([1]机架!$C:$C,C817+3)</f>
        <v>3717006121</v>
      </c>
      <c r="J817" s="3">
        <f>IF(D817&lt;&gt;"",INDEX([1]机架!$C:$C,D817+3),0)</f>
        <v>3717006122</v>
      </c>
    </row>
    <row r="818" spans="1:10" ht="16.5" x14ac:dyDescent="0.2">
      <c r="A818" s="3" t="s">
        <v>393</v>
      </c>
      <c r="B818" s="3">
        <v>815</v>
      </c>
      <c r="C818" s="3">
        <f t="shared" si="49"/>
        <v>1629</v>
      </c>
      <c r="D818" s="3">
        <f t="shared" si="50"/>
        <v>1630</v>
      </c>
      <c r="E818" s="3" t="str">
        <f t="shared" si="48"/>
        <v>dump:3216007173&amp;1316007173</v>
      </c>
      <c r="F818" s="3" t="str">
        <f t="shared" si="51"/>
        <v>哑资源设备_815</v>
      </c>
      <c r="G818" s="10" t="s">
        <v>406</v>
      </c>
      <c r="H818" s="3" t="str">
        <f>"检测机架"&amp;INDEX([1]机架!$D:$D,C818+3)&amp;IF(D818&lt;&gt;"","和"&amp;INDEX([1]机架!$D:$D,D818+3),"")&amp;"的数据"</f>
        <v>检测机架巨野の机架-6和巨野の机架-7的数据</v>
      </c>
      <c r="I818" s="3">
        <f>INDEX([1]机架!$C:$C,C818+3)</f>
        <v>3717006123</v>
      </c>
      <c r="J818" s="3">
        <f>IF(D818&lt;&gt;"",INDEX([1]机架!$C:$C,D818+3),0)</f>
        <v>3717006131</v>
      </c>
    </row>
    <row r="819" spans="1:10" ht="16.5" x14ac:dyDescent="0.2">
      <c r="A819" s="3" t="s">
        <v>393</v>
      </c>
      <c r="B819" s="3">
        <v>816</v>
      </c>
      <c r="C819" s="3">
        <f t="shared" si="49"/>
        <v>1631</v>
      </c>
      <c r="D819" s="3">
        <f t="shared" si="50"/>
        <v>1632</v>
      </c>
      <c r="E819" s="3" t="str">
        <f t="shared" si="48"/>
        <v>dump:2316007173&amp;3316007173</v>
      </c>
      <c r="F819" s="3" t="str">
        <f t="shared" si="51"/>
        <v>哑资源设备_816</v>
      </c>
      <c r="G819" s="10" t="s">
        <v>406</v>
      </c>
      <c r="H819" s="3" t="str">
        <f>"检测机架"&amp;INDEX([1]机架!$D:$D,C819+3)&amp;IF(D819&lt;&gt;"","和"&amp;INDEX([1]机架!$D:$D,D819+3),"")&amp;"的数据"</f>
        <v>检测机架巨野の机架-8和巨野の机架-9的数据</v>
      </c>
      <c r="I819" s="3">
        <f>INDEX([1]机架!$C:$C,C819+3)</f>
        <v>3717006132</v>
      </c>
      <c r="J819" s="3">
        <f>IF(D819&lt;&gt;"",INDEX([1]机架!$C:$C,D819+3),0)</f>
        <v>3717006133</v>
      </c>
    </row>
    <row r="820" spans="1:10" ht="16.5" x14ac:dyDescent="0.2">
      <c r="A820" s="3" t="s">
        <v>393</v>
      </c>
      <c r="B820" s="3">
        <v>817</v>
      </c>
      <c r="C820" s="3">
        <f t="shared" si="49"/>
        <v>1633</v>
      </c>
      <c r="D820" s="3">
        <f t="shared" si="50"/>
        <v>1634</v>
      </c>
      <c r="E820" s="3" t="str">
        <f t="shared" si="48"/>
        <v>dump:1117007173&amp;2117007173</v>
      </c>
      <c r="F820" s="3" t="str">
        <f t="shared" si="51"/>
        <v>哑资源设备_817</v>
      </c>
      <c r="G820" s="10" t="s">
        <v>406</v>
      </c>
      <c r="H820" s="3" t="str">
        <f>"检测机架"&amp;INDEX([1]机架!$D:$D,C820+3)&amp;IF(D820&lt;&gt;"","和"&amp;INDEX([1]机架!$D:$D,D820+3),"")&amp;"的数据"</f>
        <v>检测机架程屯支局の机架-1和程屯支局の机架-2的数据</v>
      </c>
      <c r="I820" s="3">
        <f>INDEX([1]机架!$C:$C,C820+3)</f>
        <v>3717007111</v>
      </c>
      <c r="J820" s="3">
        <f>IF(D820&lt;&gt;"",INDEX([1]机架!$C:$C,D820+3),0)</f>
        <v>3717007112</v>
      </c>
    </row>
    <row r="821" spans="1:10" ht="16.5" x14ac:dyDescent="0.2">
      <c r="A821" s="3" t="s">
        <v>393</v>
      </c>
      <c r="B821" s="3">
        <v>818</v>
      </c>
      <c r="C821" s="3">
        <f t="shared" si="49"/>
        <v>1635</v>
      </c>
      <c r="D821" s="3">
        <f t="shared" si="50"/>
        <v>1636</v>
      </c>
      <c r="E821" s="3" t="str">
        <f t="shared" si="48"/>
        <v>dump:3117007173&amp;1217007173</v>
      </c>
      <c r="F821" s="3" t="str">
        <f t="shared" si="51"/>
        <v>哑资源设备_818</v>
      </c>
      <c r="G821" s="10" t="s">
        <v>406</v>
      </c>
      <c r="H821" s="3" t="str">
        <f>"检测机架"&amp;INDEX([1]机架!$D:$D,C821+3)&amp;IF(D821&lt;&gt;"","和"&amp;INDEX([1]机架!$D:$D,D821+3),"")&amp;"的数据"</f>
        <v>检测机架程屯支局の机架-3和程屯支局の机架-4的数据</v>
      </c>
      <c r="I821" s="3">
        <f>INDEX([1]机架!$C:$C,C821+3)</f>
        <v>3717007113</v>
      </c>
      <c r="J821" s="3">
        <f>IF(D821&lt;&gt;"",INDEX([1]机架!$C:$C,D821+3),0)</f>
        <v>3717007121</v>
      </c>
    </row>
    <row r="822" spans="1:10" ht="16.5" x14ac:dyDescent="0.2">
      <c r="A822" s="3" t="s">
        <v>393</v>
      </c>
      <c r="B822" s="3">
        <v>819</v>
      </c>
      <c r="C822" s="3">
        <f t="shared" si="49"/>
        <v>1637</v>
      </c>
      <c r="D822" s="3">
        <f t="shared" si="50"/>
        <v>1638</v>
      </c>
      <c r="E822" s="3" t="str">
        <f t="shared" si="48"/>
        <v>dump:2217007173&amp;3217007173</v>
      </c>
      <c r="F822" s="3" t="str">
        <f t="shared" si="51"/>
        <v>哑资源设备_819</v>
      </c>
      <c r="G822" s="10" t="s">
        <v>406</v>
      </c>
      <c r="H822" s="3" t="str">
        <f>"检测机架"&amp;INDEX([1]机架!$D:$D,C822+3)&amp;IF(D822&lt;&gt;"","和"&amp;INDEX([1]机架!$D:$D,D822+3),"")&amp;"的数据"</f>
        <v>检测机架程屯支局の机架-5和程屯支局の机架-6的数据</v>
      </c>
      <c r="I822" s="3">
        <f>INDEX([1]机架!$C:$C,C822+3)</f>
        <v>3717007122</v>
      </c>
      <c r="J822" s="3">
        <f>IF(D822&lt;&gt;"",INDEX([1]机架!$C:$C,D822+3),0)</f>
        <v>3717007123</v>
      </c>
    </row>
    <row r="823" spans="1:10" ht="16.5" x14ac:dyDescent="0.2">
      <c r="A823" s="3" t="s">
        <v>393</v>
      </c>
      <c r="B823" s="3">
        <v>820</v>
      </c>
      <c r="C823" s="3">
        <f t="shared" si="49"/>
        <v>1639</v>
      </c>
      <c r="D823" s="3">
        <f t="shared" si="50"/>
        <v>1640</v>
      </c>
      <c r="E823" s="3" t="str">
        <f t="shared" si="48"/>
        <v>dump:1317007173&amp;2317007173</v>
      </c>
      <c r="F823" s="3" t="str">
        <f t="shared" si="51"/>
        <v>哑资源设备_820</v>
      </c>
      <c r="G823" s="10" t="s">
        <v>406</v>
      </c>
      <c r="H823" s="3" t="str">
        <f>"检测机架"&amp;INDEX([1]机架!$D:$D,C823+3)&amp;IF(D823&lt;&gt;"","和"&amp;INDEX([1]机架!$D:$D,D823+3),"")&amp;"的数据"</f>
        <v>检测机架程屯支局の机架-7和程屯支局の机架-8的数据</v>
      </c>
      <c r="I823" s="3">
        <f>INDEX([1]机架!$C:$C,C823+3)</f>
        <v>3717007131</v>
      </c>
      <c r="J823" s="3">
        <f>IF(D823&lt;&gt;"",INDEX([1]机架!$C:$C,D823+3),0)</f>
        <v>3717007132</v>
      </c>
    </row>
    <row r="824" spans="1:10" ht="16.5" x14ac:dyDescent="0.2">
      <c r="A824" s="3" t="s">
        <v>393</v>
      </c>
      <c r="B824" s="3">
        <v>821</v>
      </c>
      <c r="C824" s="3">
        <f t="shared" si="49"/>
        <v>1641</v>
      </c>
      <c r="D824" s="3">
        <f t="shared" si="50"/>
        <v>1642</v>
      </c>
      <c r="E824" s="3" t="str">
        <f t="shared" si="48"/>
        <v>dump:3317007173&amp;1113101073</v>
      </c>
      <c r="F824" s="3" t="str">
        <f t="shared" si="51"/>
        <v>哑资源设备_821</v>
      </c>
      <c r="G824" s="10" t="s">
        <v>406</v>
      </c>
      <c r="H824" s="3" t="str">
        <f>"检测机架"&amp;INDEX([1]机架!$D:$D,C824+3)&amp;IF(D824&lt;&gt;"","和"&amp;INDEX([1]机架!$D:$D,D824+3),"")&amp;"的数据"</f>
        <v>检测机架程屯支局の机架-9和莱芜大桥路の机架-1的数据</v>
      </c>
      <c r="I824" s="3">
        <f>INDEX([1]机架!$C:$C,C824+3)</f>
        <v>3717007133</v>
      </c>
      <c r="J824" s="3">
        <f>IF(D824&lt;&gt;"",INDEX([1]机架!$C:$C,D824+3),0)</f>
        <v>3701013111</v>
      </c>
    </row>
    <row r="825" spans="1:10" ht="16.5" x14ac:dyDescent="0.2">
      <c r="A825" s="3" t="s">
        <v>393</v>
      </c>
      <c r="B825" s="3">
        <v>822</v>
      </c>
      <c r="C825" s="3">
        <f t="shared" si="49"/>
        <v>1643</v>
      </c>
      <c r="D825" s="3">
        <f t="shared" si="50"/>
        <v>1644</v>
      </c>
      <c r="E825" s="3" t="str">
        <f t="shared" si="48"/>
        <v>dump:2113101073&amp;3113101073</v>
      </c>
      <c r="F825" s="3" t="str">
        <f t="shared" si="51"/>
        <v>哑资源设备_822</v>
      </c>
      <c r="G825" s="10" t="s">
        <v>406</v>
      </c>
      <c r="H825" s="3" t="str">
        <f>"检测机架"&amp;INDEX([1]机架!$D:$D,C825+3)&amp;IF(D825&lt;&gt;"","和"&amp;INDEX([1]机架!$D:$D,D825+3),"")&amp;"的数据"</f>
        <v>检测机架莱芜大桥路の机架-2和莱芜大桥路の机架-3的数据</v>
      </c>
      <c r="I825" s="3">
        <f>INDEX([1]机架!$C:$C,C825+3)</f>
        <v>3701013112</v>
      </c>
      <c r="J825" s="3">
        <f>IF(D825&lt;&gt;"",INDEX([1]机架!$C:$C,D825+3),0)</f>
        <v>3701013113</v>
      </c>
    </row>
    <row r="826" spans="1:10" ht="16.5" x14ac:dyDescent="0.2">
      <c r="A826" s="3" t="s">
        <v>393</v>
      </c>
      <c r="B826" s="3">
        <v>823</v>
      </c>
      <c r="C826" s="3">
        <f t="shared" si="49"/>
        <v>1645</v>
      </c>
      <c r="D826" s="3">
        <f t="shared" si="50"/>
        <v>1646</v>
      </c>
      <c r="E826" s="3" t="str">
        <f t="shared" si="48"/>
        <v>dump:1213101073&amp;2213101073</v>
      </c>
      <c r="F826" s="3" t="str">
        <f t="shared" si="51"/>
        <v>哑资源设备_823</v>
      </c>
      <c r="G826" s="10" t="s">
        <v>406</v>
      </c>
      <c r="H826" s="3" t="str">
        <f>"检测机架"&amp;INDEX([1]机架!$D:$D,C826+3)&amp;IF(D826&lt;&gt;"","和"&amp;INDEX([1]机架!$D:$D,D826+3),"")&amp;"的数据"</f>
        <v>检测机架莱芜大桥路の机架-4和莱芜大桥路の机架-5的数据</v>
      </c>
      <c r="I826" s="3">
        <f>INDEX([1]机架!$C:$C,C826+3)</f>
        <v>3701013121</v>
      </c>
      <c r="J826" s="3">
        <f>IF(D826&lt;&gt;"",INDEX([1]机架!$C:$C,D826+3),0)</f>
        <v>3701013122</v>
      </c>
    </row>
    <row r="827" spans="1:10" ht="16.5" x14ac:dyDescent="0.2">
      <c r="A827" s="3" t="s">
        <v>393</v>
      </c>
      <c r="B827" s="3">
        <v>824</v>
      </c>
      <c r="C827" s="3">
        <f t="shared" si="49"/>
        <v>1647</v>
      </c>
      <c r="D827" s="3">
        <f t="shared" si="50"/>
        <v>1648</v>
      </c>
      <c r="E827" s="3" t="str">
        <f t="shared" si="48"/>
        <v>dump:3213101073&amp;1313101073</v>
      </c>
      <c r="F827" s="3" t="str">
        <f t="shared" si="51"/>
        <v>哑资源设备_824</v>
      </c>
      <c r="G827" s="10" t="s">
        <v>406</v>
      </c>
      <c r="H827" s="3" t="str">
        <f>"检测机架"&amp;INDEX([1]机架!$D:$D,C827+3)&amp;IF(D827&lt;&gt;"","和"&amp;INDEX([1]机架!$D:$D,D827+3),"")&amp;"的数据"</f>
        <v>检测机架莱芜大桥路の机架-6和莱芜大桥路の机架-7的数据</v>
      </c>
      <c r="I827" s="3">
        <f>INDEX([1]机架!$C:$C,C827+3)</f>
        <v>3701013123</v>
      </c>
      <c r="J827" s="3">
        <f>IF(D827&lt;&gt;"",INDEX([1]机架!$C:$C,D827+3),0)</f>
        <v>3701013131</v>
      </c>
    </row>
    <row r="828" spans="1:10" ht="16.5" x14ac:dyDescent="0.2">
      <c r="A828" s="3" t="s">
        <v>393</v>
      </c>
      <c r="B828" s="3">
        <v>825</v>
      </c>
      <c r="C828" s="3">
        <f t="shared" si="49"/>
        <v>1649</v>
      </c>
      <c r="D828" s="3">
        <f t="shared" si="50"/>
        <v>1650</v>
      </c>
      <c r="E828" s="3" t="str">
        <f t="shared" si="48"/>
        <v>dump:2313101073&amp;3313101073</v>
      </c>
      <c r="F828" s="3" t="str">
        <f t="shared" si="51"/>
        <v>哑资源设备_825</v>
      </c>
      <c r="G828" s="10" t="s">
        <v>406</v>
      </c>
      <c r="H828" s="3" t="str">
        <f>"检测机架"&amp;INDEX([1]机架!$D:$D,C828+3)&amp;IF(D828&lt;&gt;"","和"&amp;INDEX([1]机架!$D:$D,D828+3),"")&amp;"的数据"</f>
        <v>检测机架莱芜大桥路の机架-8和莱芜大桥路の机架-9的数据</v>
      </c>
      <c r="I828" s="3">
        <f>INDEX([1]机架!$C:$C,C828+3)</f>
        <v>3701013132</v>
      </c>
      <c r="J828" s="3">
        <f>IF(D828&lt;&gt;"",INDEX([1]机架!$C:$C,D828+3),0)</f>
        <v>3701013133</v>
      </c>
    </row>
    <row r="829" spans="1:10" ht="16.5" x14ac:dyDescent="0.2">
      <c r="A829" s="3" t="s">
        <v>393</v>
      </c>
      <c r="B829" s="3">
        <v>826</v>
      </c>
      <c r="C829" s="3">
        <f t="shared" si="49"/>
        <v>1651</v>
      </c>
      <c r="D829" s="3">
        <f t="shared" si="50"/>
        <v>1652</v>
      </c>
      <c r="E829" s="3" t="str">
        <f t="shared" si="48"/>
        <v>dump:1114101073&amp;2114101073</v>
      </c>
      <c r="F829" s="3" t="str">
        <f t="shared" si="51"/>
        <v>哑资源设备_826</v>
      </c>
      <c r="G829" s="10" t="s">
        <v>406</v>
      </c>
      <c r="H829" s="3" t="str">
        <f>"检测机架"&amp;INDEX([1]机架!$D:$D,C829+3)&amp;IF(D829&lt;&gt;"","和"&amp;INDEX([1]机架!$D:$D,D829+3),"")&amp;"的数据"</f>
        <v>检测机架莱芜原山路の机架-1和莱芜原山路の机架-2的数据</v>
      </c>
      <c r="I829" s="3">
        <f>INDEX([1]机架!$C:$C,C829+3)</f>
        <v>3701014111</v>
      </c>
      <c r="J829" s="3">
        <f>IF(D829&lt;&gt;"",INDEX([1]机架!$C:$C,D829+3),0)</f>
        <v>3701014112</v>
      </c>
    </row>
    <row r="830" spans="1:10" ht="16.5" x14ac:dyDescent="0.2">
      <c r="A830" s="3" t="s">
        <v>393</v>
      </c>
      <c r="B830" s="3">
        <v>827</v>
      </c>
      <c r="C830" s="3">
        <f t="shared" si="49"/>
        <v>1653</v>
      </c>
      <c r="D830" s="3">
        <f t="shared" si="50"/>
        <v>1654</v>
      </c>
      <c r="E830" s="3" t="str">
        <f t="shared" si="48"/>
        <v>dump:3114101073&amp;1214101073</v>
      </c>
      <c r="F830" s="3" t="str">
        <f t="shared" si="51"/>
        <v>哑资源设备_827</v>
      </c>
      <c r="G830" s="10" t="s">
        <v>406</v>
      </c>
      <c r="H830" s="3" t="str">
        <f>"检测机架"&amp;INDEX([1]机架!$D:$D,C830+3)&amp;IF(D830&lt;&gt;"","和"&amp;INDEX([1]机架!$D:$D,D830+3),"")&amp;"的数据"</f>
        <v>检测机架莱芜原山路の机架-3和莱芜原山路の机架-4的数据</v>
      </c>
      <c r="I830" s="3">
        <f>INDEX([1]机架!$C:$C,C830+3)</f>
        <v>3701014113</v>
      </c>
      <c r="J830" s="3">
        <f>IF(D830&lt;&gt;"",INDEX([1]机架!$C:$C,D830+3),0)</f>
        <v>3701014121</v>
      </c>
    </row>
    <row r="831" spans="1:10" ht="16.5" x14ac:dyDescent="0.2">
      <c r="A831" s="3" t="s">
        <v>393</v>
      </c>
      <c r="B831" s="3">
        <v>828</v>
      </c>
      <c r="C831" s="3">
        <f t="shared" si="49"/>
        <v>1655</v>
      </c>
      <c r="D831" s="3">
        <f t="shared" si="50"/>
        <v>1656</v>
      </c>
      <c r="E831" s="3" t="str">
        <f t="shared" si="48"/>
        <v>dump:2214101073&amp;3214101073</v>
      </c>
      <c r="F831" s="3" t="str">
        <f t="shared" si="51"/>
        <v>哑资源设备_828</v>
      </c>
      <c r="G831" s="10" t="s">
        <v>406</v>
      </c>
      <c r="H831" s="3" t="str">
        <f>"检测机架"&amp;INDEX([1]机架!$D:$D,C831+3)&amp;IF(D831&lt;&gt;"","和"&amp;INDEX([1]机架!$D:$D,D831+3),"")&amp;"的数据"</f>
        <v>检测机架莱芜原山路の机架-5和莱芜原山路の机架-6的数据</v>
      </c>
      <c r="I831" s="3">
        <f>INDEX([1]机架!$C:$C,C831+3)</f>
        <v>3701014122</v>
      </c>
      <c r="J831" s="3">
        <f>IF(D831&lt;&gt;"",INDEX([1]机架!$C:$C,D831+3),0)</f>
        <v>3701014123</v>
      </c>
    </row>
    <row r="832" spans="1:10" ht="16.5" x14ac:dyDescent="0.2">
      <c r="A832" s="3" t="s">
        <v>393</v>
      </c>
      <c r="B832" s="3">
        <v>829</v>
      </c>
      <c r="C832" s="3">
        <f t="shared" si="49"/>
        <v>1657</v>
      </c>
      <c r="D832" s="3">
        <f t="shared" si="50"/>
        <v>1658</v>
      </c>
      <c r="E832" s="3" t="str">
        <f t="shared" si="48"/>
        <v>dump:1314101073&amp;2314101073</v>
      </c>
      <c r="F832" s="3" t="str">
        <f t="shared" si="51"/>
        <v>哑资源设备_829</v>
      </c>
      <c r="G832" s="10" t="s">
        <v>406</v>
      </c>
      <c r="H832" s="3" t="str">
        <f>"检测机架"&amp;INDEX([1]机架!$D:$D,C832+3)&amp;IF(D832&lt;&gt;"","和"&amp;INDEX([1]机架!$D:$D,D832+3),"")&amp;"的数据"</f>
        <v>检测机架莱芜原山路の机架-7和莱芜原山路の机架-8的数据</v>
      </c>
      <c r="I832" s="3">
        <f>INDEX([1]机架!$C:$C,C832+3)</f>
        <v>3701014131</v>
      </c>
      <c r="J832" s="3">
        <f>IF(D832&lt;&gt;"",INDEX([1]机架!$C:$C,D832+3),0)</f>
        <v>3701014132</v>
      </c>
    </row>
    <row r="833" spans="1:10" ht="16.5" x14ac:dyDescent="0.2">
      <c r="A833" s="3" t="s">
        <v>393</v>
      </c>
      <c r="B833" s="3">
        <v>830</v>
      </c>
      <c r="C833" s="3">
        <f t="shared" si="49"/>
        <v>1659</v>
      </c>
      <c r="D833" s="3">
        <f t="shared" si="50"/>
        <v>1660</v>
      </c>
      <c r="E833" s="3" t="str">
        <f t="shared" si="48"/>
        <v>dump:3314101073&amp;1115101073</v>
      </c>
      <c r="F833" s="3" t="str">
        <f t="shared" si="51"/>
        <v>哑资源设备_830</v>
      </c>
      <c r="G833" s="10" t="s">
        <v>406</v>
      </c>
      <c r="H833" s="3" t="str">
        <f>"检测机架"&amp;INDEX([1]机架!$D:$D,C833+3)&amp;IF(D833&lt;&gt;"","和"&amp;INDEX([1]机架!$D:$D,D833+3),"")&amp;"的数据"</f>
        <v>检测机架莱芜原山路の机架-9和齐河务头中继站の机架-1的数据</v>
      </c>
      <c r="I833" s="3">
        <f>INDEX([1]机架!$C:$C,C833+3)</f>
        <v>3701014133</v>
      </c>
      <c r="J833" s="3">
        <f>IF(D833&lt;&gt;"",INDEX([1]机架!$C:$C,D833+3),0)</f>
        <v>3701015111</v>
      </c>
    </row>
    <row r="834" spans="1:10" ht="16.5" x14ac:dyDescent="0.2">
      <c r="A834" s="3" t="s">
        <v>393</v>
      </c>
      <c r="B834" s="3">
        <v>831</v>
      </c>
      <c r="C834" s="3">
        <f t="shared" si="49"/>
        <v>1661</v>
      </c>
      <c r="D834" s="3">
        <f t="shared" si="50"/>
        <v>1662</v>
      </c>
      <c r="E834" s="3" t="str">
        <f t="shared" si="48"/>
        <v>dump:2115101073&amp;3115101073</v>
      </c>
      <c r="F834" s="3" t="str">
        <f t="shared" si="51"/>
        <v>哑资源设备_831</v>
      </c>
      <c r="G834" s="10" t="s">
        <v>406</v>
      </c>
      <c r="H834" s="3" t="str">
        <f>"检测机架"&amp;INDEX([1]机架!$D:$D,C834+3)&amp;IF(D834&lt;&gt;"","和"&amp;INDEX([1]机架!$D:$D,D834+3),"")&amp;"的数据"</f>
        <v>检测机架齐河务头中继站の机架-2和齐河务头中继站の机架-3的数据</v>
      </c>
      <c r="I834" s="3">
        <f>INDEX([1]机架!$C:$C,C834+3)</f>
        <v>3701015112</v>
      </c>
      <c r="J834" s="3">
        <f>IF(D834&lt;&gt;"",INDEX([1]机架!$C:$C,D834+3),0)</f>
        <v>3701015113</v>
      </c>
    </row>
    <row r="835" spans="1:10" ht="16.5" x14ac:dyDescent="0.2">
      <c r="A835" s="3" t="s">
        <v>393</v>
      </c>
      <c r="B835" s="3">
        <v>832</v>
      </c>
      <c r="C835" s="3">
        <f t="shared" si="49"/>
        <v>1663</v>
      </c>
      <c r="D835" s="3">
        <f t="shared" si="50"/>
        <v>1664</v>
      </c>
      <c r="E835" s="3" t="str">
        <f t="shared" si="48"/>
        <v>dump:1215101073&amp;2215101073</v>
      </c>
      <c r="F835" s="3" t="str">
        <f t="shared" si="51"/>
        <v>哑资源设备_832</v>
      </c>
      <c r="G835" s="10" t="s">
        <v>406</v>
      </c>
      <c r="H835" s="3" t="str">
        <f>"检测机架"&amp;INDEX([1]机架!$D:$D,C835+3)&amp;IF(D835&lt;&gt;"","和"&amp;INDEX([1]机架!$D:$D,D835+3),"")&amp;"的数据"</f>
        <v>检测机架齐河务头中继站の机架-4和齐河务头中继站の机架-5的数据</v>
      </c>
      <c r="I835" s="3">
        <f>INDEX([1]机架!$C:$C,C835+3)</f>
        <v>3701015121</v>
      </c>
      <c r="J835" s="3">
        <f>IF(D835&lt;&gt;"",INDEX([1]机架!$C:$C,D835+3),0)</f>
        <v>3701015122</v>
      </c>
    </row>
    <row r="836" spans="1:10" ht="16.5" x14ac:dyDescent="0.2">
      <c r="A836" s="3" t="s">
        <v>393</v>
      </c>
      <c r="B836" s="3">
        <v>833</v>
      </c>
      <c r="C836" s="3">
        <f t="shared" si="49"/>
        <v>1665</v>
      </c>
      <c r="D836" s="3">
        <f t="shared" si="50"/>
        <v>1666</v>
      </c>
      <c r="E836" s="3" t="str">
        <f t="shared" ref="E836:E842" si="52">"dump:"&amp;Reverse(I836)&amp;"&amp;"&amp;Reverse(J836)</f>
        <v>dump:3215101073&amp;1315101073</v>
      </c>
      <c r="F836" s="3" t="str">
        <f t="shared" si="51"/>
        <v>哑资源设备_833</v>
      </c>
      <c r="G836" s="10" t="s">
        <v>406</v>
      </c>
      <c r="H836" s="3" t="str">
        <f>"检测机架"&amp;INDEX([1]机架!$D:$D,C836+3)&amp;IF(D836&lt;&gt;"","和"&amp;INDEX([1]机架!$D:$D,D836+3),"")&amp;"的数据"</f>
        <v>检测机架齐河务头中继站の机架-6和齐河务头中继站の机架-7的数据</v>
      </c>
      <c r="I836" s="3">
        <f>INDEX([1]机架!$C:$C,C836+3)</f>
        <v>3701015123</v>
      </c>
      <c r="J836" s="3">
        <f>IF(D836&lt;&gt;"",INDEX([1]机架!$C:$C,D836+3),0)</f>
        <v>3701015131</v>
      </c>
    </row>
    <row r="837" spans="1:10" ht="16.5" x14ac:dyDescent="0.2">
      <c r="A837" s="3" t="s">
        <v>393</v>
      </c>
      <c r="B837" s="3">
        <v>834</v>
      </c>
      <c r="C837" s="3">
        <f t="shared" ref="C837:C842" si="53">MOD(B837-1,INT(($N$3+1)/2))*2+1</f>
        <v>1667</v>
      </c>
      <c r="D837" s="3">
        <f t="shared" ref="D837:D842" si="54">IF(C837&lt;$N$3,MOD(B837-1,INT(($N$3+1)/2))*2+2,"")</f>
        <v>1668</v>
      </c>
      <c r="E837" s="3" t="str">
        <f t="shared" si="52"/>
        <v>dump:2315101073&amp;3315101073</v>
      </c>
      <c r="F837" s="3" t="str">
        <f t="shared" ref="F837:F842" si="55">"哑资源设备_"&amp;B837</f>
        <v>哑资源设备_834</v>
      </c>
      <c r="G837" s="10" t="s">
        <v>406</v>
      </c>
      <c r="H837" s="3" t="str">
        <f>"检测机架"&amp;INDEX([1]机架!$D:$D,C837+3)&amp;IF(D837&lt;&gt;"","和"&amp;INDEX([1]机架!$D:$D,D837+3),"")&amp;"的数据"</f>
        <v>检测机架齐河务头中继站の机架-8和齐河务头中继站の机架-9的数据</v>
      </c>
      <c r="I837" s="3">
        <f>INDEX([1]机架!$C:$C,C837+3)</f>
        <v>3701015132</v>
      </c>
      <c r="J837" s="3">
        <f>IF(D837&lt;&gt;"",INDEX([1]机架!$C:$C,D837+3),0)</f>
        <v>3701015133</v>
      </c>
    </row>
    <row r="838" spans="1:10" ht="16.5" x14ac:dyDescent="0.2">
      <c r="A838" s="3" t="s">
        <v>393</v>
      </c>
      <c r="B838" s="3">
        <v>835</v>
      </c>
      <c r="C838" s="3">
        <f t="shared" si="53"/>
        <v>1669</v>
      </c>
      <c r="D838" s="3">
        <f t="shared" si="54"/>
        <v>1670</v>
      </c>
      <c r="E838" s="3" t="str">
        <f t="shared" si="52"/>
        <v>dump:1116101073&amp;2116101073</v>
      </c>
      <c r="F838" s="3" t="str">
        <f t="shared" si="55"/>
        <v>哑资源设备_835</v>
      </c>
      <c r="G838" s="10" t="s">
        <v>406</v>
      </c>
      <c r="H838" s="3" t="str">
        <f>"检测机架"&amp;INDEX([1]机架!$D:$D,C838+3)&amp;IF(D838&lt;&gt;"","和"&amp;INDEX([1]机架!$D:$D,D838+3),"")&amp;"的数据"</f>
        <v>检测机架乐陵新局の机架-1和乐陵新局の机架-2的数据</v>
      </c>
      <c r="I838" s="3">
        <f>INDEX([1]机架!$C:$C,C838+3)</f>
        <v>3701016111</v>
      </c>
      <c r="J838" s="3">
        <f>IF(D838&lt;&gt;"",INDEX([1]机架!$C:$C,D838+3),0)</f>
        <v>3701016112</v>
      </c>
    </row>
    <row r="839" spans="1:10" ht="16.5" x14ac:dyDescent="0.2">
      <c r="A839" s="3" t="s">
        <v>393</v>
      </c>
      <c r="B839" s="3">
        <v>836</v>
      </c>
      <c r="C839" s="3">
        <f t="shared" si="53"/>
        <v>1671</v>
      </c>
      <c r="D839" s="3">
        <f t="shared" si="54"/>
        <v>1672</v>
      </c>
      <c r="E839" s="3" t="str">
        <f t="shared" si="52"/>
        <v>dump:3116101073&amp;1216101073</v>
      </c>
      <c r="F839" s="3" t="str">
        <f t="shared" si="55"/>
        <v>哑资源设备_836</v>
      </c>
      <c r="G839" s="10" t="s">
        <v>406</v>
      </c>
      <c r="H839" s="3" t="str">
        <f>"检测机架"&amp;INDEX([1]机架!$D:$D,C839+3)&amp;IF(D839&lt;&gt;"","和"&amp;INDEX([1]机架!$D:$D,D839+3),"")&amp;"的数据"</f>
        <v>检测机架乐陵新局の机架-3和乐陵新局の机架-4的数据</v>
      </c>
      <c r="I839" s="3">
        <f>INDEX([1]机架!$C:$C,C839+3)</f>
        <v>3701016113</v>
      </c>
      <c r="J839" s="3">
        <f>IF(D839&lt;&gt;"",INDEX([1]机架!$C:$C,D839+3),0)</f>
        <v>3701016121</v>
      </c>
    </row>
    <row r="840" spans="1:10" ht="16.5" x14ac:dyDescent="0.2">
      <c r="A840" s="3" t="s">
        <v>393</v>
      </c>
      <c r="B840" s="3">
        <v>837</v>
      </c>
      <c r="C840" s="3">
        <f t="shared" si="53"/>
        <v>1673</v>
      </c>
      <c r="D840" s="3">
        <f t="shared" si="54"/>
        <v>1674</v>
      </c>
      <c r="E840" s="3" t="str">
        <f t="shared" si="52"/>
        <v>dump:2216101073&amp;3216101073</v>
      </c>
      <c r="F840" s="3" t="str">
        <f t="shared" si="55"/>
        <v>哑资源设备_837</v>
      </c>
      <c r="G840" s="10" t="s">
        <v>406</v>
      </c>
      <c r="H840" s="3" t="str">
        <f>"检测机架"&amp;INDEX([1]机架!$D:$D,C840+3)&amp;IF(D840&lt;&gt;"","和"&amp;INDEX([1]机架!$D:$D,D840+3),"")&amp;"的数据"</f>
        <v>检测机架乐陵新局の机架-5和乐陵新局の机架-6的数据</v>
      </c>
      <c r="I840" s="3">
        <f>INDEX([1]机架!$C:$C,C840+3)</f>
        <v>3701016122</v>
      </c>
      <c r="J840" s="3">
        <f>IF(D840&lt;&gt;"",INDEX([1]机架!$C:$C,D840+3),0)</f>
        <v>3701016123</v>
      </c>
    </row>
    <row r="841" spans="1:10" ht="16.5" x14ac:dyDescent="0.2">
      <c r="A841" s="3" t="s">
        <v>393</v>
      </c>
      <c r="B841" s="3">
        <v>838</v>
      </c>
      <c r="C841" s="3">
        <f t="shared" si="53"/>
        <v>1675</v>
      </c>
      <c r="D841" s="3">
        <f t="shared" si="54"/>
        <v>1676</v>
      </c>
      <c r="E841" s="3" t="str">
        <f t="shared" si="52"/>
        <v>dump:1316101073&amp;2316101073</v>
      </c>
      <c r="F841" s="3" t="str">
        <f t="shared" si="55"/>
        <v>哑资源设备_838</v>
      </c>
      <c r="G841" s="10" t="s">
        <v>406</v>
      </c>
      <c r="H841" s="3" t="str">
        <f>"检测机架"&amp;INDEX([1]机架!$D:$D,C841+3)&amp;IF(D841&lt;&gt;"","和"&amp;INDEX([1]机架!$D:$D,D841+3),"")&amp;"的数据"</f>
        <v>检测机架乐陵新局の机架-7和乐陵新局の机架-8的数据</v>
      </c>
      <c r="I841" s="3">
        <f>INDEX([1]机架!$C:$C,C841+3)</f>
        <v>3701016131</v>
      </c>
      <c r="J841" s="3">
        <f>IF(D841&lt;&gt;"",INDEX([1]机架!$C:$C,D841+3),0)</f>
        <v>3701016132</v>
      </c>
    </row>
    <row r="842" spans="1:10" ht="16.5" x14ac:dyDescent="0.2">
      <c r="A842" s="3" t="s">
        <v>393</v>
      </c>
      <c r="B842" s="3">
        <v>839</v>
      </c>
      <c r="C842" s="3">
        <f t="shared" si="53"/>
        <v>1677</v>
      </c>
      <c r="D842" s="3" t="str">
        <f t="shared" si="54"/>
        <v/>
      </c>
      <c r="E842" s="3" t="str">
        <f t="shared" si="52"/>
        <v>dump:3316101073&amp;0</v>
      </c>
      <c r="F842" s="3" t="str">
        <f t="shared" si="55"/>
        <v>哑资源设备_839</v>
      </c>
      <c r="G842" s="10" t="s">
        <v>406</v>
      </c>
      <c r="H842" s="3" t="str">
        <f>"检测机架"&amp;INDEX([1]机架!$D:$D,C842+3)&amp;IF(D842&lt;&gt;"","和"&amp;INDEX([1]机架!$D:$D,D842+3),"")&amp;"的数据"</f>
        <v>检测机架乐陵新局の机架-9的数据</v>
      </c>
      <c r="I842" s="3">
        <f>INDEX([1]机架!$C:$C,C842+3)</f>
        <v>3701016133</v>
      </c>
      <c r="J842" s="3">
        <f>IF(D842&lt;&gt;"",INDEX([1]机架!$C:$C,D842+3),0)</f>
        <v>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INDEX</vt:lpstr>
      <vt:lpstr>玩家</vt:lpstr>
      <vt:lpstr>场景</vt:lpstr>
      <vt:lpstr>油烟设备</vt:lpstr>
      <vt:lpstr>哑资源设备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织法酱</cp:lastModifiedBy>
  <dcterms:created xsi:type="dcterms:W3CDTF">2015-06-05T18:19:34Z</dcterms:created>
  <dcterms:modified xsi:type="dcterms:W3CDTF">2021-01-25T06:06:24Z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45a857d9-a7e3-4fc1-be70-0f8ad650e3a7</vt:lpwstr>
  </property>
</Properties>
</file>